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ef\workspace\gvbasic-mir-remaster\configs\"/>
    </mc:Choice>
  </mc:AlternateContent>
  <xr:revisionPtr revIDLastSave="0" documentId="13_ncr:1_{37FA2302-9D46-4CF7-9440-B04FABA2A20E}" xr6:coauthVersionLast="47" xr6:coauthVersionMax="47" xr10:uidLastSave="{00000000-0000-0000-0000-000000000000}"/>
  <bookViews>
    <workbookView xWindow="23340" yWindow="0" windowWidth="15165" windowHeight="20985" xr2:uid="{00000000-000D-0000-FFFF-FFFF00000000}"/>
  </bookViews>
  <sheets>
    <sheet name="Sheet1" sheetId="1" r:id="rId1"/>
  </sheets>
  <definedNames>
    <definedName name="_xlnm._FilterDatabase" localSheetId="0" hidden="1">Sheet1!$A$4:$V$369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0" i="1" l="1"/>
  <c r="T180" i="1"/>
  <c r="U180" i="1"/>
  <c r="V180" i="1"/>
  <c r="S150" i="1"/>
  <c r="T150" i="1"/>
  <c r="U150" i="1"/>
  <c r="V150" i="1"/>
  <c r="S168" i="1"/>
  <c r="T168" i="1"/>
  <c r="U168" i="1"/>
  <c r="V168" i="1"/>
  <c r="S178" i="1"/>
  <c r="T178" i="1"/>
  <c r="U178" i="1"/>
  <c r="V178" i="1"/>
  <c r="S179" i="1"/>
  <c r="T179" i="1"/>
  <c r="U179" i="1"/>
  <c r="V179" i="1"/>
  <c r="S177" i="1"/>
  <c r="T177" i="1"/>
  <c r="U177" i="1"/>
  <c r="V177" i="1"/>
  <c r="S149" i="1"/>
  <c r="T149" i="1"/>
  <c r="U149" i="1"/>
  <c r="V149" i="1"/>
  <c r="V141" i="1"/>
  <c r="U141" i="1"/>
  <c r="T141" i="1"/>
  <c r="S141" i="1"/>
  <c r="V135" i="1"/>
  <c r="U135" i="1"/>
  <c r="T135" i="1"/>
  <c r="S135" i="1"/>
  <c r="V129" i="1"/>
  <c r="U129" i="1"/>
  <c r="T129" i="1"/>
  <c r="S129" i="1"/>
  <c r="V120" i="1"/>
  <c r="U120" i="1"/>
  <c r="T120" i="1"/>
  <c r="S120" i="1"/>
  <c r="V114" i="1"/>
  <c r="U114" i="1"/>
  <c r="T114" i="1"/>
  <c r="S114" i="1"/>
  <c r="V108" i="1"/>
  <c r="U108" i="1"/>
  <c r="T108" i="1"/>
  <c r="S108" i="1"/>
  <c r="V99" i="1"/>
  <c r="U99" i="1"/>
  <c r="T99" i="1"/>
  <c r="S99" i="1"/>
  <c r="V93" i="1"/>
  <c r="U93" i="1"/>
  <c r="T93" i="1"/>
  <c r="S93" i="1"/>
  <c r="V87" i="1"/>
  <c r="U87" i="1"/>
  <c r="T87" i="1"/>
  <c r="S87" i="1"/>
  <c r="V288" i="1"/>
  <c r="U288" i="1"/>
  <c r="T288" i="1"/>
  <c r="S288" i="1"/>
  <c r="V287" i="1"/>
  <c r="U287" i="1"/>
  <c r="T287" i="1"/>
  <c r="S287" i="1"/>
  <c r="V286" i="1"/>
  <c r="U286" i="1"/>
  <c r="T286" i="1"/>
  <c r="S286" i="1"/>
  <c r="V285" i="1"/>
  <c r="U285" i="1"/>
  <c r="T285" i="1"/>
  <c r="S285" i="1"/>
  <c r="V284" i="1"/>
  <c r="U284" i="1"/>
  <c r="T284" i="1"/>
  <c r="S284" i="1"/>
  <c r="V283" i="1"/>
  <c r="U283" i="1"/>
  <c r="T283" i="1"/>
  <c r="S283" i="1"/>
  <c r="V282" i="1"/>
  <c r="U282" i="1"/>
  <c r="T282" i="1"/>
  <c r="S282" i="1"/>
  <c r="V281" i="1"/>
  <c r="U281" i="1"/>
  <c r="T281" i="1"/>
  <c r="S281" i="1"/>
  <c r="V280" i="1"/>
  <c r="U280" i="1"/>
  <c r="T280" i="1"/>
  <c r="S280" i="1"/>
  <c r="V279" i="1"/>
  <c r="U279" i="1"/>
  <c r="T279" i="1"/>
  <c r="S279" i="1"/>
  <c r="V278" i="1"/>
  <c r="U278" i="1"/>
  <c r="T278" i="1"/>
  <c r="S278" i="1"/>
  <c r="V277" i="1"/>
  <c r="U277" i="1"/>
  <c r="T277" i="1"/>
  <c r="S277" i="1"/>
  <c r="V276" i="1"/>
  <c r="U276" i="1"/>
  <c r="T276" i="1"/>
  <c r="S276" i="1"/>
  <c r="V275" i="1"/>
  <c r="U275" i="1"/>
  <c r="T275" i="1"/>
  <c r="S275" i="1"/>
  <c r="V274" i="1"/>
  <c r="U274" i="1"/>
  <c r="T274" i="1"/>
  <c r="S274" i="1"/>
  <c r="V273" i="1"/>
  <c r="U273" i="1"/>
  <c r="T273" i="1"/>
  <c r="S273" i="1"/>
  <c r="V272" i="1"/>
  <c r="U272" i="1"/>
  <c r="T272" i="1"/>
  <c r="S272" i="1"/>
  <c r="V271" i="1"/>
  <c r="U271" i="1"/>
  <c r="T271" i="1"/>
  <c r="S271" i="1"/>
  <c r="V270" i="1"/>
  <c r="U270" i="1"/>
  <c r="T270" i="1"/>
  <c r="S270" i="1"/>
  <c r="V269" i="1"/>
  <c r="U269" i="1"/>
  <c r="T269" i="1"/>
  <c r="S269" i="1"/>
  <c r="V268" i="1"/>
  <c r="U268" i="1"/>
  <c r="T268" i="1"/>
  <c r="S268" i="1"/>
  <c r="V267" i="1"/>
  <c r="U267" i="1"/>
  <c r="T267" i="1"/>
  <c r="S267" i="1"/>
  <c r="V266" i="1"/>
  <c r="U266" i="1"/>
  <c r="T266" i="1"/>
  <c r="S266" i="1"/>
  <c r="V265" i="1"/>
  <c r="U265" i="1"/>
  <c r="T265" i="1"/>
  <c r="S265" i="1"/>
  <c r="V264" i="1"/>
  <c r="U264" i="1"/>
  <c r="T264" i="1"/>
  <c r="S264" i="1"/>
  <c r="V263" i="1"/>
  <c r="U263" i="1"/>
  <c r="T263" i="1"/>
  <c r="S263" i="1"/>
  <c r="V262" i="1"/>
  <c r="U262" i="1"/>
  <c r="T262" i="1"/>
  <c r="S262" i="1"/>
  <c r="V261" i="1"/>
  <c r="U261" i="1"/>
  <c r="T261" i="1"/>
  <c r="S261" i="1"/>
  <c r="V260" i="1"/>
  <c r="U260" i="1"/>
  <c r="T260" i="1"/>
  <c r="S260" i="1"/>
  <c r="V259" i="1"/>
  <c r="U259" i="1"/>
  <c r="T259" i="1"/>
  <c r="S259" i="1"/>
  <c r="V258" i="1"/>
  <c r="U258" i="1"/>
  <c r="T258" i="1"/>
  <c r="S258" i="1"/>
  <c r="V257" i="1"/>
  <c r="U257" i="1"/>
  <c r="T257" i="1"/>
  <c r="S257" i="1"/>
  <c r="V256" i="1"/>
  <c r="U256" i="1"/>
  <c r="T256" i="1"/>
  <c r="S256" i="1"/>
  <c r="V255" i="1"/>
  <c r="U255" i="1"/>
  <c r="T255" i="1"/>
  <c r="S255" i="1"/>
  <c r="V254" i="1"/>
  <c r="U254" i="1"/>
  <c r="T254" i="1"/>
  <c r="S254" i="1"/>
  <c r="V253" i="1"/>
  <c r="U253" i="1"/>
  <c r="T253" i="1"/>
  <c r="S253" i="1"/>
  <c r="V252" i="1"/>
  <c r="U252" i="1"/>
  <c r="T252" i="1"/>
  <c r="S252" i="1"/>
  <c r="V251" i="1"/>
  <c r="U251" i="1"/>
  <c r="T251" i="1"/>
  <c r="S251" i="1"/>
  <c r="V250" i="1"/>
  <c r="U250" i="1"/>
  <c r="T250" i="1"/>
  <c r="S250" i="1"/>
  <c r="V249" i="1"/>
  <c r="U249" i="1"/>
  <c r="T249" i="1"/>
  <c r="S249" i="1"/>
  <c r="V248" i="1"/>
  <c r="U248" i="1"/>
  <c r="T248" i="1"/>
  <c r="S248" i="1"/>
  <c r="V247" i="1"/>
  <c r="U247" i="1"/>
  <c r="T247" i="1"/>
  <c r="S247" i="1"/>
  <c r="V246" i="1"/>
  <c r="U246" i="1"/>
  <c r="T246" i="1"/>
  <c r="S246" i="1"/>
  <c r="V245" i="1"/>
  <c r="U245" i="1"/>
  <c r="T245" i="1"/>
  <c r="S245" i="1"/>
  <c r="V244" i="1"/>
  <c r="U244" i="1"/>
  <c r="T244" i="1"/>
  <c r="S244" i="1"/>
  <c r="V243" i="1"/>
  <c r="U243" i="1"/>
  <c r="T243" i="1"/>
  <c r="S243" i="1"/>
  <c r="V242" i="1"/>
  <c r="U242" i="1"/>
  <c r="T242" i="1"/>
  <c r="S242" i="1"/>
  <c r="V241" i="1"/>
  <c r="U241" i="1"/>
  <c r="T241" i="1"/>
  <c r="S241" i="1"/>
  <c r="V240" i="1"/>
  <c r="U240" i="1"/>
  <c r="T240" i="1"/>
  <c r="S240" i="1"/>
  <c r="V239" i="1"/>
  <c r="U239" i="1"/>
  <c r="T239" i="1"/>
  <c r="S239" i="1"/>
  <c r="V238" i="1"/>
  <c r="U238" i="1"/>
  <c r="T238" i="1"/>
  <c r="S238" i="1"/>
  <c r="V237" i="1"/>
  <c r="U237" i="1"/>
  <c r="T237" i="1"/>
  <c r="S237" i="1"/>
  <c r="V236" i="1"/>
  <c r="U236" i="1"/>
  <c r="T236" i="1"/>
  <c r="S236" i="1"/>
  <c r="V235" i="1"/>
  <c r="U235" i="1"/>
  <c r="T235" i="1"/>
  <c r="S235" i="1"/>
  <c r="V234" i="1"/>
  <c r="U234" i="1"/>
  <c r="T234" i="1"/>
  <c r="S234" i="1"/>
  <c r="V233" i="1"/>
  <c r="U233" i="1"/>
  <c r="T233" i="1"/>
  <c r="S233" i="1"/>
  <c r="V232" i="1"/>
  <c r="U232" i="1"/>
  <c r="T232" i="1"/>
  <c r="S232" i="1"/>
  <c r="V231" i="1"/>
  <c r="U231" i="1"/>
  <c r="T231" i="1"/>
  <c r="S231" i="1"/>
  <c r="V230" i="1"/>
  <c r="U230" i="1"/>
  <c r="T230" i="1"/>
  <c r="S230" i="1"/>
  <c r="V229" i="1"/>
  <c r="U229" i="1"/>
  <c r="T229" i="1"/>
  <c r="S229" i="1"/>
  <c r="V228" i="1"/>
  <c r="U228" i="1"/>
  <c r="T228" i="1"/>
  <c r="S228" i="1"/>
  <c r="V227" i="1"/>
  <c r="U227" i="1"/>
  <c r="T227" i="1"/>
  <c r="S227" i="1"/>
  <c r="V226" i="1"/>
  <c r="U226" i="1"/>
  <c r="T226" i="1"/>
  <c r="S226" i="1"/>
  <c r="V225" i="1"/>
  <c r="U225" i="1"/>
  <c r="T225" i="1"/>
  <c r="S225" i="1"/>
  <c r="V224" i="1"/>
  <c r="U224" i="1"/>
  <c r="T224" i="1"/>
  <c r="S224" i="1"/>
  <c r="V223" i="1"/>
  <c r="U223" i="1"/>
  <c r="T223" i="1"/>
  <c r="S223" i="1"/>
  <c r="V222" i="1"/>
  <c r="U222" i="1"/>
  <c r="T222" i="1"/>
  <c r="S222" i="1"/>
  <c r="V221" i="1"/>
  <c r="U221" i="1"/>
  <c r="T221" i="1"/>
  <c r="S221" i="1"/>
  <c r="V220" i="1"/>
  <c r="U220" i="1"/>
  <c r="T220" i="1"/>
  <c r="S220" i="1"/>
  <c r="V219" i="1"/>
  <c r="U219" i="1"/>
  <c r="T219" i="1"/>
  <c r="S219" i="1"/>
  <c r="V218" i="1"/>
  <c r="U218" i="1"/>
  <c r="T218" i="1"/>
  <c r="S218" i="1"/>
  <c r="V217" i="1"/>
  <c r="U217" i="1"/>
  <c r="T217" i="1"/>
  <c r="S217" i="1"/>
  <c r="V126" i="1"/>
  <c r="U126" i="1"/>
  <c r="T126" i="1"/>
  <c r="S126" i="1"/>
  <c r="V125" i="1"/>
  <c r="U125" i="1"/>
  <c r="T125" i="1"/>
  <c r="S125" i="1"/>
  <c r="V124" i="1"/>
  <c r="U124" i="1"/>
  <c r="T124" i="1"/>
  <c r="S124" i="1"/>
  <c r="V123" i="1"/>
  <c r="U123" i="1"/>
  <c r="T123" i="1"/>
  <c r="S123" i="1"/>
  <c r="V122" i="1"/>
  <c r="U122" i="1"/>
  <c r="T122" i="1"/>
  <c r="S122" i="1"/>
  <c r="V121" i="1"/>
  <c r="U121" i="1"/>
  <c r="T121" i="1"/>
  <c r="S121" i="1"/>
  <c r="V119" i="1"/>
  <c r="U119" i="1"/>
  <c r="T119" i="1"/>
  <c r="S119" i="1"/>
  <c r="V118" i="1"/>
  <c r="U118" i="1"/>
  <c r="T118" i="1"/>
  <c r="S118" i="1"/>
  <c r="V117" i="1"/>
  <c r="U117" i="1"/>
  <c r="T117" i="1"/>
  <c r="S117" i="1"/>
  <c r="V116" i="1"/>
  <c r="U116" i="1"/>
  <c r="T116" i="1"/>
  <c r="S116" i="1"/>
  <c r="V115" i="1"/>
  <c r="U115" i="1"/>
  <c r="T115" i="1"/>
  <c r="S115" i="1"/>
  <c r="V113" i="1"/>
  <c r="U113" i="1"/>
  <c r="T113" i="1"/>
  <c r="S113" i="1"/>
  <c r="V112" i="1"/>
  <c r="U112" i="1"/>
  <c r="T112" i="1"/>
  <c r="S112" i="1"/>
  <c r="V111" i="1"/>
  <c r="U111" i="1"/>
  <c r="T111" i="1"/>
  <c r="S111" i="1"/>
  <c r="V110" i="1"/>
  <c r="U110" i="1"/>
  <c r="T110" i="1"/>
  <c r="S110" i="1"/>
  <c r="V109" i="1"/>
  <c r="U109" i="1"/>
  <c r="T109" i="1"/>
  <c r="S109" i="1"/>
  <c r="V107" i="1"/>
  <c r="U107" i="1"/>
  <c r="T107" i="1"/>
  <c r="S107" i="1"/>
  <c r="V106" i="1"/>
  <c r="U106" i="1"/>
  <c r="T106" i="1"/>
  <c r="S106" i="1"/>
  <c r="V105" i="1"/>
  <c r="U105" i="1"/>
  <c r="T105" i="1"/>
  <c r="S105" i="1"/>
  <c r="V104" i="1"/>
  <c r="U104" i="1"/>
  <c r="T104" i="1"/>
  <c r="S104" i="1"/>
  <c r="V103" i="1"/>
  <c r="U103" i="1"/>
  <c r="T103" i="1"/>
  <c r="S103" i="1"/>
  <c r="V102" i="1"/>
  <c r="U102" i="1"/>
  <c r="T102" i="1"/>
  <c r="S102" i="1"/>
  <c r="V101" i="1"/>
  <c r="U101" i="1"/>
  <c r="T101" i="1"/>
  <c r="S101" i="1"/>
  <c r="V100" i="1"/>
  <c r="U100" i="1"/>
  <c r="T100" i="1"/>
  <c r="S100" i="1"/>
  <c r="V98" i="1"/>
  <c r="U98" i="1"/>
  <c r="T98" i="1"/>
  <c r="S98" i="1"/>
  <c r="V97" i="1"/>
  <c r="U97" i="1"/>
  <c r="T97" i="1"/>
  <c r="S97" i="1"/>
  <c r="V96" i="1"/>
  <c r="U96" i="1"/>
  <c r="T96" i="1"/>
  <c r="S96" i="1"/>
  <c r="V95" i="1"/>
  <c r="U95" i="1"/>
  <c r="T95" i="1"/>
  <c r="S95" i="1"/>
  <c r="V94" i="1"/>
  <c r="U94" i="1"/>
  <c r="T94" i="1"/>
  <c r="S94" i="1"/>
  <c r="V92" i="1"/>
  <c r="U92" i="1"/>
  <c r="T92" i="1"/>
  <c r="S92" i="1"/>
  <c r="V91" i="1"/>
  <c r="U91" i="1"/>
  <c r="T91" i="1"/>
  <c r="S91" i="1"/>
  <c r="V90" i="1"/>
  <c r="U90" i="1"/>
  <c r="T90" i="1"/>
  <c r="S90" i="1"/>
  <c r="V89" i="1"/>
  <c r="U89" i="1"/>
  <c r="T89" i="1"/>
  <c r="S89" i="1"/>
  <c r="V88" i="1"/>
  <c r="U88" i="1"/>
  <c r="T88" i="1"/>
  <c r="S88" i="1"/>
  <c r="V86" i="1"/>
  <c r="U86" i="1"/>
  <c r="T86" i="1"/>
  <c r="S86" i="1"/>
  <c r="V85" i="1"/>
  <c r="U85" i="1"/>
  <c r="T85" i="1"/>
  <c r="S85" i="1"/>
  <c r="S347" i="1"/>
  <c r="T347" i="1"/>
  <c r="U347" i="1"/>
  <c r="V347" i="1"/>
  <c r="S348" i="1"/>
  <c r="T348" i="1"/>
  <c r="U348" i="1"/>
  <c r="V348" i="1"/>
  <c r="S349" i="1"/>
  <c r="T349" i="1"/>
  <c r="U349" i="1"/>
  <c r="V349" i="1"/>
  <c r="S350" i="1"/>
  <c r="T350" i="1"/>
  <c r="U350" i="1"/>
  <c r="V350" i="1"/>
  <c r="S351" i="1"/>
  <c r="T351" i="1"/>
  <c r="U351" i="1"/>
  <c r="V351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S72" i="1"/>
  <c r="T72" i="1"/>
  <c r="U72" i="1"/>
  <c r="V72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V26" i="1" l="1"/>
  <c r="U26" i="1"/>
  <c r="T26" i="1"/>
  <c r="S26" i="1"/>
  <c r="V25" i="1"/>
  <c r="U25" i="1"/>
  <c r="T25" i="1"/>
  <c r="S25" i="1"/>
  <c r="V24" i="1"/>
  <c r="U24" i="1"/>
  <c r="T24" i="1"/>
  <c r="S24" i="1"/>
  <c r="V23" i="1"/>
  <c r="U23" i="1"/>
  <c r="T23" i="1"/>
  <c r="S23" i="1"/>
  <c r="V22" i="1"/>
  <c r="U22" i="1"/>
  <c r="T22" i="1"/>
  <c r="S22" i="1"/>
  <c r="V21" i="1"/>
  <c r="U21" i="1"/>
  <c r="T21" i="1"/>
  <c r="S21" i="1"/>
  <c r="V20" i="1"/>
  <c r="U20" i="1"/>
  <c r="T20" i="1"/>
  <c r="S20" i="1"/>
  <c r="V19" i="1"/>
  <c r="U19" i="1"/>
  <c r="T19" i="1"/>
  <c r="S19" i="1"/>
  <c r="V18" i="1"/>
  <c r="U18" i="1"/>
  <c r="T18" i="1"/>
  <c r="S18" i="1"/>
  <c r="V17" i="1"/>
  <c r="U17" i="1"/>
  <c r="T17" i="1"/>
  <c r="S17" i="1"/>
  <c r="S32" i="1"/>
  <c r="T32" i="1"/>
  <c r="U32" i="1"/>
  <c r="V32" i="1"/>
  <c r="S174" i="1"/>
  <c r="T174" i="1"/>
  <c r="U174" i="1"/>
  <c r="V174" i="1"/>
  <c r="S336" i="1"/>
  <c r="T336" i="1"/>
  <c r="U336" i="1"/>
  <c r="V336" i="1"/>
  <c r="S335" i="1"/>
  <c r="T335" i="1"/>
  <c r="U335" i="1"/>
  <c r="V335" i="1"/>
  <c r="S334" i="1"/>
  <c r="T334" i="1"/>
  <c r="U334" i="1"/>
  <c r="V334" i="1"/>
  <c r="V333" i="1"/>
  <c r="U333" i="1"/>
  <c r="T333" i="1"/>
  <c r="S333" i="1"/>
  <c r="V143" i="1"/>
  <c r="U143" i="1"/>
  <c r="T143" i="1"/>
  <c r="S143" i="1"/>
  <c r="V142" i="1"/>
  <c r="U142" i="1"/>
  <c r="T142" i="1"/>
  <c r="S142" i="1"/>
  <c r="V137" i="1"/>
  <c r="U137" i="1"/>
  <c r="T137" i="1"/>
  <c r="S137" i="1"/>
  <c r="V136" i="1"/>
  <c r="U136" i="1"/>
  <c r="T136" i="1"/>
  <c r="S136" i="1"/>
  <c r="V131" i="1"/>
  <c r="U131" i="1"/>
  <c r="T131" i="1"/>
  <c r="S131" i="1"/>
  <c r="V130" i="1"/>
  <c r="U130" i="1"/>
  <c r="T130" i="1"/>
  <c r="S130" i="1"/>
  <c r="S151" i="1"/>
  <c r="T151" i="1"/>
  <c r="U151" i="1"/>
  <c r="V151" i="1"/>
  <c r="S353" i="1"/>
  <c r="T353" i="1"/>
  <c r="U353" i="1"/>
  <c r="V353" i="1"/>
  <c r="S354" i="1"/>
  <c r="T354" i="1"/>
  <c r="U354" i="1"/>
  <c r="V354" i="1"/>
  <c r="S355" i="1"/>
  <c r="T355" i="1"/>
  <c r="U355" i="1"/>
  <c r="V355" i="1"/>
  <c r="S356" i="1"/>
  <c r="T356" i="1"/>
  <c r="U356" i="1"/>
  <c r="V356" i="1"/>
  <c r="S357" i="1"/>
  <c r="T357" i="1"/>
  <c r="U357" i="1"/>
  <c r="V357" i="1"/>
  <c r="S358" i="1"/>
  <c r="T358" i="1"/>
  <c r="U358" i="1"/>
  <c r="V358" i="1"/>
  <c r="S359" i="1"/>
  <c r="T359" i="1"/>
  <c r="U359" i="1"/>
  <c r="V359" i="1"/>
  <c r="S360" i="1"/>
  <c r="T360" i="1"/>
  <c r="U360" i="1"/>
  <c r="V360" i="1"/>
  <c r="S361" i="1"/>
  <c r="T361" i="1"/>
  <c r="U361" i="1"/>
  <c r="V361" i="1"/>
  <c r="S362" i="1"/>
  <c r="T362" i="1"/>
  <c r="U362" i="1"/>
  <c r="V362" i="1"/>
  <c r="S363" i="1"/>
  <c r="T363" i="1"/>
  <c r="U363" i="1"/>
  <c r="V363" i="1"/>
  <c r="S364" i="1"/>
  <c r="T364" i="1"/>
  <c r="U364" i="1"/>
  <c r="V364" i="1"/>
  <c r="S365" i="1"/>
  <c r="T365" i="1"/>
  <c r="U365" i="1"/>
  <c r="V365" i="1"/>
  <c r="S366" i="1"/>
  <c r="T366" i="1"/>
  <c r="U366" i="1"/>
  <c r="V366" i="1"/>
  <c r="S367" i="1"/>
  <c r="T367" i="1"/>
  <c r="U367" i="1"/>
  <c r="V367" i="1"/>
  <c r="S368" i="1"/>
  <c r="T368" i="1"/>
  <c r="U368" i="1"/>
  <c r="V368" i="1"/>
  <c r="S369" i="1"/>
  <c r="T369" i="1"/>
  <c r="U369" i="1"/>
  <c r="V369" i="1"/>
  <c r="S352" i="1"/>
  <c r="T352" i="1"/>
  <c r="U352" i="1"/>
  <c r="V352" i="1"/>
  <c r="V324" i="1"/>
  <c r="U324" i="1"/>
  <c r="T324" i="1"/>
  <c r="S324" i="1"/>
  <c r="V323" i="1"/>
  <c r="U323" i="1"/>
  <c r="T323" i="1"/>
  <c r="S323" i="1"/>
  <c r="V322" i="1"/>
  <c r="U322" i="1"/>
  <c r="T322" i="1"/>
  <c r="S322" i="1"/>
  <c r="V321" i="1"/>
  <c r="U321" i="1"/>
  <c r="T321" i="1"/>
  <c r="S321" i="1"/>
  <c r="V320" i="1"/>
  <c r="U320" i="1"/>
  <c r="T320" i="1"/>
  <c r="S320" i="1"/>
  <c r="V319" i="1"/>
  <c r="U319" i="1"/>
  <c r="T319" i="1"/>
  <c r="S319" i="1"/>
  <c r="V318" i="1"/>
  <c r="U318" i="1"/>
  <c r="T318" i="1"/>
  <c r="S318" i="1"/>
  <c r="V317" i="1"/>
  <c r="U317" i="1"/>
  <c r="T317" i="1"/>
  <c r="S317" i="1"/>
  <c r="V316" i="1"/>
  <c r="U316" i="1"/>
  <c r="T316" i="1"/>
  <c r="S316" i="1"/>
  <c r="V315" i="1"/>
  <c r="U315" i="1"/>
  <c r="T315" i="1"/>
  <c r="S315" i="1"/>
  <c r="V314" i="1"/>
  <c r="U314" i="1"/>
  <c r="T314" i="1"/>
  <c r="S314" i="1"/>
  <c r="V313" i="1"/>
  <c r="U313" i="1"/>
  <c r="T313" i="1"/>
  <c r="S313" i="1"/>
  <c r="V312" i="1"/>
  <c r="U312" i="1"/>
  <c r="T312" i="1"/>
  <c r="S312" i="1"/>
  <c r="V311" i="1"/>
  <c r="U311" i="1"/>
  <c r="T311" i="1"/>
  <c r="S311" i="1"/>
  <c r="V310" i="1"/>
  <c r="U310" i="1"/>
  <c r="T310" i="1"/>
  <c r="S310" i="1"/>
  <c r="V309" i="1"/>
  <c r="U309" i="1"/>
  <c r="T309" i="1"/>
  <c r="S309" i="1"/>
  <c r="V308" i="1"/>
  <c r="U308" i="1"/>
  <c r="T308" i="1"/>
  <c r="S308" i="1"/>
  <c r="V307" i="1"/>
  <c r="U307" i="1"/>
  <c r="T307" i="1"/>
  <c r="S307" i="1"/>
  <c r="V306" i="1"/>
  <c r="U306" i="1"/>
  <c r="T306" i="1"/>
  <c r="S306" i="1"/>
  <c r="V305" i="1"/>
  <c r="U305" i="1"/>
  <c r="T305" i="1"/>
  <c r="S305" i="1"/>
  <c r="V304" i="1"/>
  <c r="U304" i="1"/>
  <c r="T304" i="1"/>
  <c r="S304" i="1"/>
  <c r="V303" i="1"/>
  <c r="U303" i="1"/>
  <c r="T303" i="1"/>
  <c r="S303" i="1"/>
  <c r="V302" i="1"/>
  <c r="U302" i="1"/>
  <c r="T302" i="1"/>
  <c r="S302" i="1"/>
  <c r="V301" i="1"/>
  <c r="U301" i="1"/>
  <c r="T301" i="1"/>
  <c r="S301" i="1"/>
  <c r="V300" i="1"/>
  <c r="U300" i="1"/>
  <c r="T300" i="1"/>
  <c r="S300" i="1"/>
  <c r="V299" i="1"/>
  <c r="U299" i="1"/>
  <c r="T299" i="1"/>
  <c r="S299" i="1"/>
  <c r="V298" i="1"/>
  <c r="U298" i="1"/>
  <c r="T298" i="1"/>
  <c r="S298" i="1"/>
  <c r="V297" i="1"/>
  <c r="U297" i="1"/>
  <c r="T297" i="1"/>
  <c r="S297" i="1"/>
  <c r="V296" i="1"/>
  <c r="U296" i="1"/>
  <c r="T296" i="1"/>
  <c r="S296" i="1"/>
  <c r="V295" i="1"/>
  <c r="U295" i="1"/>
  <c r="T295" i="1"/>
  <c r="S295" i="1"/>
  <c r="V294" i="1"/>
  <c r="U294" i="1"/>
  <c r="T294" i="1"/>
  <c r="S294" i="1"/>
  <c r="V293" i="1"/>
  <c r="U293" i="1"/>
  <c r="T293" i="1"/>
  <c r="S293" i="1"/>
  <c r="V292" i="1"/>
  <c r="U292" i="1"/>
  <c r="T292" i="1"/>
  <c r="S292" i="1"/>
  <c r="V291" i="1"/>
  <c r="U291" i="1"/>
  <c r="T291" i="1"/>
  <c r="S291" i="1"/>
  <c r="V290" i="1"/>
  <c r="U290" i="1"/>
  <c r="T290" i="1"/>
  <c r="S290" i="1"/>
  <c r="V289" i="1"/>
  <c r="U289" i="1"/>
  <c r="T289" i="1"/>
  <c r="S289" i="1"/>
  <c r="S343" i="1"/>
  <c r="T343" i="1"/>
  <c r="U343" i="1"/>
  <c r="V343" i="1"/>
  <c r="S344" i="1"/>
  <c r="T344" i="1"/>
  <c r="U344" i="1"/>
  <c r="V344" i="1"/>
  <c r="S345" i="1"/>
  <c r="T345" i="1"/>
  <c r="U345" i="1"/>
  <c r="V345" i="1"/>
  <c r="S346" i="1"/>
  <c r="T346" i="1"/>
  <c r="U346" i="1"/>
  <c r="V346" i="1"/>
  <c r="S342" i="1"/>
  <c r="T342" i="1"/>
  <c r="U342" i="1"/>
  <c r="V342" i="1"/>
  <c r="S62" i="1"/>
  <c r="T62" i="1"/>
  <c r="U62" i="1"/>
  <c r="V62" i="1"/>
  <c r="S63" i="1"/>
  <c r="T63" i="1"/>
  <c r="U63" i="1"/>
  <c r="V63" i="1"/>
  <c r="H58" i="1"/>
  <c r="G58" i="1"/>
  <c r="F58" i="1"/>
  <c r="E58" i="1"/>
  <c r="E57" i="1"/>
  <c r="F57" i="1"/>
  <c r="G57" i="1"/>
  <c r="H57" i="1"/>
  <c r="E59" i="1"/>
  <c r="F59" i="1"/>
  <c r="G59" i="1"/>
  <c r="H59" i="1"/>
  <c r="H56" i="1"/>
  <c r="G56" i="1"/>
  <c r="F56" i="1"/>
  <c r="E56" i="1"/>
  <c r="H55" i="1"/>
  <c r="G55" i="1"/>
  <c r="F55" i="1"/>
  <c r="E55" i="1"/>
  <c r="S340" i="1"/>
  <c r="T340" i="1"/>
  <c r="U340" i="1"/>
  <c r="V340" i="1"/>
  <c r="S341" i="1"/>
  <c r="T341" i="1"/>
  <c r="U341" i="1"/>
  <c r="V341" i="1"/>
  <c r="S339" i="1"/>
  <c r="T339" i="1"/>
  <c r="U339" i="1"/>
  <c r="V339" i="1"/>
  <c r="S338" i="1"/>
  <c r="T338" i="1"/>
  <c r="U338" i="1"/>
  <c r="V338" i="1"/>
  <c r="S78" i="1"/>
  <c r="T78" i="1"/>
  <c r="U78" i="1"/>
  <c r="V78" i="1"/>
  <c r="S79" i="1"/>
  <c r="T79" i="1"/>
  <c r="U79" i="1"/>
  <c r="V79" i="1"/>
  <c r="S80" i="1"/>
  <c r="T80" i="1"/>
  <c r="U80" i="1"/>
  <c r="V80" i="1"/>
  <c r="S81" i="1"/>
  <c r="T81" i="1"/>
  <c r="U81" i="1"/>
  <c r="V81" i="1"/>
  <c r="S82" i="1"/>
  <c r="T82" i="1"/>
  <c r="U82" i="1"/>
  <c r="V82" i="1"/>
  <c r="S83" i="1"/>
  <c r="T83" i="1"/>
  <c r="U83" i="1"/>
  <c r="V83" i="1"/>
  <c r="S84" i="1"/>
  <c r="T84" i="1"/>
  <c r="U84" i="1"/>
  <c r="V84" i="1"/>
  <c r="S73" i="1"/>
  <c r="T73" i="1"/>
  <c r="U73" i="1"/>
  <c r="V73" i="1"/>
  <c r="S74" i="1"/>
  <c r="T74" i="1"/>
  <c r="U74" i="1"/>
  <c r="V74" i="1"/>
  <c r="S75" i="1"/>
  <c r="T75" i="1"/>
  <c r="U75" i="1"/>
  <c r="V75" i="1"/>
  <c r="S76" i="1"/>
  <c r="T76" i="1"/>
  <c r="U76" i="1"/>
  <c r="V76" i="1"/>
  <c r="S77" i="1"/>
  <c r="T77" i="1"/>
  <c r="U77" i="1"/>
  <c r="V77" i="1"/>
  <c r="S337" i="1"/>
  <c r="T337" i="1"/>
  <c r="U337" i="1"/>
  <c r="V337" i="1"/>
  <c r="S326" i="1"/>
  <c r="T326" i="1"/>
  <c r="U326" i="1"/>
  <c r="V326" i="1"/>
  <c r="S327" i="1"/>
  <c r="T327" i="1"/>
  <c r="U327" i="1"/>
  <c r="V327" i="1"/>
  <c r="S328" i="1"/>
  <c r="T328" i="1"/>
  <c r="U328" i="1"/>
  <c r="V328" i="1"/>
  <c r="S329" i="1"/>
  <c r="T329" i="1"/>
  <c r="U329" i="1"/>
  <c r="V329" i="1"/>
  <c r="S330" i="1"/>
  <c r="T330" i="1"/>
  <c r="U330" i="1"/>
  <c r="V330" i="1"/>
  <c r="S331" i="1"/>
  <c r="T331" i="1"/>
  <c r="U331" i="1"/>
  <c r="V331" i="1"/>
  <c r="S332" i="1"/>
  <c r="T332" i="1"/>
  <c r="U332" i="1"/>
  <c r="V332" i="1"/>
  <c r="S325" i="1"/>
  <c r="T325" i="1"/>
  <c r="U325" i="1"/>
  <c r="V325" i="1"/>
  <c r="S182" i="1"/>
  <c r="T182" i="1"/>
  <c r="U182" i="1"/>
  <c r="V182" i="1"/>
  <c r="S183" i="1"/>
  <c r="T183" i="1"/>
  <c r="U183" i="1"/>
  <c r="V183" i="1"/>
  <c r="S184" i="1"/>
  <c r="T184" i="1"/>
  <c r="U184" i="1"/>
  <c r="V184" i="1"/>
  <c r="S185" i="1"/>
  <c r="T185" i="1"/>
  <c r="U185" i="1"/>
  <c r="V185" i="1"/>
  <c r="S186" i="1"/>
  <c r="T186" i="1"/>
  <c r="U186" i="1"/>
  <c r="V186" i="1"/>
  <c r="S187" i="1"/>
  <c r="T187" i="1"/>
  <c r="U187" i="1"/>
  <c r="V187" i="1"/>
  <c r="S188" i="1"/>
  <c r="T188" i="1"/>
  <c r="U188" i="1"/>
  <c r="V188" i="1"/>
  <c r="S189" i="1"/>
  <c r="T189" i="1"/>
  <c r="U189" i="1"/>
  <c r="V189" i="1"/>
  <c r="S190" i="1"/>
  <c r="T190" i="1"/>
  <c r="U190" i="1"/>
  <c r="V190" i="1"/>
  <c r="S191" i="1"/>
  <c r="T191" i="1"/>
  <c r="U191" i="1"/>
  <c r="V191" i="1"/>
  <c r="S192" i="1"/>
  <c r="T192" i="1"/>
  <c r="U192" i="1"/>
  <c r="V192" i="1"/>
  <c r="S193" i="1"/>
  <c r="T193" i="1"/>
  <c r="U193" i="1"/>
  <c r="V193" i="1"/>
  <c r="S194" i="1"/>
  <c r="T194" i="1"/>
  <c r="U194" i="1"/>
  <c r="V194" i="1"/>
  <c r="S195" i="1"/>
  <c r="T195" i="1"/>
  <c r="U195" i="1"/>
  <c r="V195" i="1"/>
  <c r="S196" i="1"/>
  <c r="T196" i="1"/>
  <c r="U196" i="1"/>
  <c r="V196" i="1"/>
  <c r="S197" i="1"/>
  <c r="T197" i="1"/>
  <c r="U197" i="1"/>
  <c r="V197" i="1"/>
  <c r="S198" i="1"/>
  <c r="T198" i="1"/>
  <c r="U198" i="1"/>
  <c r="V198" i="1"/>
  <c r="S199" i="1"/>
  <c r="T199" i="1"/>
  <c r="U199" i="1"/>
  <c r="V199" i="1"/>
  <c r="S200" i="1"/>
  <c r="T200" i="1"/>
  <c r="U200" i="1"/>
  <c r="V200" i="1"/>
  <c r="S201" i="1"/>
  <c r="T201" i="1"/>
  <c r="U201" i="1"/>
  <c r="V201" i="1"/>
  <c r="S202" i="1"/>
  <c r="T202" i="1"/>
  <c r="U202" i="1"/>
  <c r="V202" i="1"/>
  <c r="S203" i="1"/>
  <c r="T203" i="1"/>
  <c r="U203" i="1"/>
  <c r="V203" i="1"/>
  <c r="S204" i="1"/>
  <c r="T204" i="1"/>
  <c r="U204" i="1"/>
  <c r="V204" i="1"/>
  <c r="S205" i="1"/>
  <c r="T205" i="1"/>
  <c r="U205" i="1"/>
  <c r="V205" i="1"/>
  <c r="S206" i="1"/>
  <c r="T206" i="1"/>
  <c r="U206" i="1"/>
  <c r="V206" i="1"/>
  <c r="S207" i="1"/>
  <c r="T207" i="1"/>
  <c r="U207" i="1"/>
  <c r="V207" i="1"/>
  <c r="S208" i="1"/>
  <c r="T208" i="1"/>
  <c r="U208" i="1"/>
  <c r="V208" i="1"/>
  <c r="S209" i="1"/>
  <c r="T209" i="1"/>
  <c r="U209" i="1"/>
  <c r="V209" i="1"/>
  <c r="S210" i="1"/>
  <c r="T210" i="1"/>
  <c r="U210" i="1"/>
  <c r="V210" i="1"/>
  <c r="S211" i="1"/>
  <c r="T211" i="1"/>
  <c r="U211" i="1"/>
  <c r="V211" i="1"/>
  <c r="S212" i="1"/>
  <c r="T212" i="1"/>
  <c r="U212" i="1"/>
  <c r="V212" i="1"/>
  <c r="S213" i="1"/>
  <c r="T213" i="1"/>
  <c r="U213" i="1"/>
  <c r="V213" i="1"/>
  <c r="S214" i="1"/>
  <c r="T214" i="1"/>
  <c r="U214" i="1"/>
  <c r="V214" i="1"/>
  <c r="S215" i="1"/>
  <c r="T215" i="1"/>
  <c r="U215" i="1"/>
  <c r="V215" i="1"/>
  <c r="S216" i="1"/>
  <c r="T216" i="1"/>
  <c r="U216" i="1"/>
  <c r="V216" i="1"/>
  <c r="S181" i="1"/>
  <c r="T181" i="1"/>
  <c r="U181" i="1"/>
  <c r="V181" i="1"/>
  <c r="S176" i="1"/>
  <c r="T176" i="1"/>
  <c r="U176" i="1"/>
  <c r="V176" i="1"/>
  <c r="S175" i="1"/>
  <c r="T175" i="1"/>
  <c r="U175" i="1"/>
  <c r="V175" i="1"/>
  <c r="S171" i="1"/>
  <c r="T171" i="1"/>
  <c r="U171" i="1"/>
  <c r="V171" i="1"/>
  <c r="S172" i="1"/>
  <c r="T172" i="1"/>
  <c r="U172" i="1"/>
  <c r="V172" i="1"/>
  <c r="S173" i="1"/>
  <c r="T173" i="1"/>
  <c r="U173" i="1"/>
  <c r="V173" i="1"/>
  <c r="S169" i="1"/>
  <c r="T169" i="1"/>
  <c r="U169" i="1"/>
  <c r="V169" i="1"/>
  <c r="V167" i="1"/>
  <c r="U167" i="1"/>
  <c r="T167" i="1"/>
  <c r="S167" i="1"/>
  <c r="V166" i="1"/>
  <c r="U166" i="1"/>
  <c r="T166" i="1"/>
  <c r="S166" i="1"/>
  <c r="S165" i="1"/>
  <c r="T165" i="1"/>
  <c r="U165" i="1"/>
  <c r="V165" i="1"/>
  <c r="S164" i="1"/>
  <c r="T164" i="1"/>
  <c r="U164" i="1"/>
  <c r="V164" i="1"/>
  <c r="S163" i="1"/>
  <c r="T163" i="1"/>
  <c r="U163" i="1"/>
  <c r="V163" i="1"/>
  <c r="S162" i="1"/>
  <c r="T162" i="1"/>
  <c r="U162" i="1"/>
  <c r="V162" i="1"/>
  <c r="S161" i="1"/>
  <c r="T161" i="1"/>
  <c r="U161" i="1"/>
  <c r="V161" i="1"/>
  <c r="S160" i="1"/>
  <c r="T160" i="1"/>
  <c r="U160" i="1"/>
  <c r="V160" i="1"/>
  <c r="S159" i="1"/>
  <c r="T159" i="1"/>
  <c r="U159" i="1"/>
  <c r="V159" i="1"/>
  <c r="S158" i="1"/>
  <c r="T158" i="1"/>
  <c r="U158" i="1"/>
  <c r="V158" i="1"/>
  <c r="S157" i="1"/>
  <c r="T157" i="1"/>
  <c r="U157" i="1"/>
  <c r="V157" i="1"/>
  <c r="S156" i="1"/>
  <c r="T156" i="1"/>
  <c r="U156" i="1"/>
  <c r="V156" i="1"/>
  <c r="S153" i="1"/>
  <c r="T153" i="1"/>
  <c r="U153" i="1"/>
  <c r="V153" i="1"/>
  <c r="S154" i="1"/>
  <c r="T154" i="1"/>
  <c r="U154" i="1"/>
  <c r="V154" i="1"/>
  <c r="S155" i="1"/>
  <c r="T155" i="1"/>
  <c r="U155" i="1"/>
  <c r="V155" i="1"/>
  <c r="S152" i="1"/>
  <c r="T152" i="1"/>
  <c r="U152" i="1"/>
  <c r="V152" i="1"/>
  <c r="S148" i="1"/>
  <c r="T148" i="1"/>
  <c r="U148" i="1"/>
  <c r="V148" i="1"/>
  <c r="S147" i="1"/>
  <c r="T147" i="1"/>
  <c r="U147" i="1"/>
  <c r="V147" i="1"/>
  <c r="S145" i="1"/>
  <c r="T145" i="1"/>
  <c r="U145" i="1"/>
  <c r="V145" i="1"/>
  <c r="S146" i="1"/>
  <c r="T146" i="1"/>
  <c r="U146" i="1"/>
  <c r="V146" i="1"/>
  <c r="S128" i="1"/>
  <c r="T128" i="1"/>
  <c r="U128" i="1"/>
  <c r="V128" i="1"/>
  <c r="S132" i="1"/>
  <c r="T132" i="1"/>
  <c r="U132" i="1"/>
  <c r="V132" i="1"/>
  <c r="S133" i="1"/>
  <c r="T133" i="1"/>
  <c r="U133" i="1"/>
  <c r="V133" i="1"/>
  <c r="S134" i="1"/>
  <c r="T134" i="1"/>
  <c r="U134" i="1"/>
  <c r="V134" i="1"/>
  <c r="S138" i="1"/>
  <c r="T138" i="1"/>
  <c r="U138" i="1"/>
  <c r="V138" i="1"/>
  <c r="S139" i="1"/>
  <c r="T139" i="1"/>
  <c r="U139" i="1"/>
  <c r="V139" i="1"/>
  <c r="S140" i="1"/>
  <c r="T140" i="1"/>
  <c r="U140" i="1"/>
  <c r="V140" i="1"/>
  <c r="S144" i="1"/>
  <c r="T144" i="1"/>
  <c r="U144" i="1"/>
  <c r="V144" i="1"/>
  <c r="S127" i="1"/>
  <c r="T127" i="1"/>
  <c r="U127" i="1"/>
  <c r="V127" i="1"/>
  <c r="S65" i="1"/>
  <c r="T65" i="1"/>
  <c r="U65" i="1"/>
  <c r="V65" i="1"/>
  <c r="S66" i="1"/>
  <c r="T66" i="1"/>
  <c r="U66" i="1"/>
  <c r="V66" i="1"/>
  <c r="S67" i="1"/>
  <c r="T67" i="1"/>
  <c r="U67" i="1"/>
  <c r="V67" i="1"/>
  <c r="V64" i="1"/>
  <c r="S61" i="1"/>
  <c r="T61" i="1"/>
  <c r="U61" i="1"/>
  <c r="V61" i="1"/>
  <c r="S60" i="1"/>
  <c r="T60" i="1"/>
  <c r="U60" i="1"/>
  <c r="V60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45" i="1"/>
  <c r="T45" i="1"/>
  <c r="U45" i="1"/>
  <c r="V45" i="1"/>
  <c r="V28" i="1"/>
  <c r="V29" i="1"/>
  <c r="V30" i="1"/>
  <c r="V31" i="1"/>
  <c r="V37" i="1"/>
  <c r="V38" i="1"/>
  <c r="V39" i="1"/>
  <c r="V40" i="1"/>
  <c r="V41" i="1"/>
  <c r="S28" i="1"/>
  <c r="T28" i="1"/>
  <c r="U28" i="1"/>
  <c r="S29" i="1"/>
  <c r="T29" i="1"/>
  <c r="U29" i="1"/>
  <c r="S30" i="1"/>
  <c r="T30" i="1"/>
  <c r="U30" i="1"/>
  <c r="S31" i="1"/>
  <c r="T31" i="1"/>
  <c r="U31" i="1"/>
  <c r="S37" i="1"/>
  <c r="T37" i="1"/>
  <c r="U37" i="1"/>
  <c r="S38" i="1"/>
  <c r="T38" i="1"/>
  <c r="U38" i="1"/>
  <c r="S39" i="1"/>
  <c r="T39" i="1"/>
  <c r="U39" i="1"/>
  <c r="S40" i="1"/>
  <c r="T40" i="1"/>
  <c r="U40" i="1"/>
  <c r="S41" i="1"/>
  <c r="T41" i="1"/>
  <c r="U41" i="1"/>
  <c r="V27" i="1"/>
  <c r="S27" i="1"/>
  <c r="T27" i="1"/>
  <c r="U27" i="1"/>
  <c r="V10" i="1"/>
  <c r="V11" i="1"/>
  <c r="S11" i="1"/>
  <c r="T11" i="1"/>
  <c r="U11" i="1"/>
  <c r="S10" i="1"/>
  <c r="T10" i="1"/>
  <c r="U10" i="1"/>
  <c r="V9" i="1"/>
  <c r="S9" i="1"/>
  <c r="T9" i="1"/>
  <c r="U9" i="1"/>
  <c r="V8" i="1"/>
  <c r="S8" i="1"/>
  <c r="T8" i="1"/>
  <c r="U8" i="1"/>
  <c r="V5" i="1"/>
  <c r="V6" i="1"/>
  <c r="V7" i="1"/>
  <c r="X7" i="1" s="1"/>
  <c r="S7" i="1"/>
  <c r="T7" i="1"/>
  <c r="U7" i="1"/>
  <c r="U6" i="1"/>
  <c r="T6" i="1"/>
  <c r="S6" i="1"/>
  <c r="U5" i="1"/>
  <c r="T5" i="1"/>
  <c r="S5" i="1"/>
  <c r="T64" i="1"/>
  <c r="U64" i="1"/>
  <c r="S64" i="1"/>
  <c r="W7" i="1" l="1"/>
  <c r="U58" i="1"/>
  <c r="S56" i="1"/>
  <c r="U55" i="1"/>
  <c r="V55" i="1"/>
  <c r="T55" i="1"/>
  <c r="S58" i="1"/>
  <c r="S57" i="1"/>
  <c r="T57" i="1"/>
  <c r="S55" i="1"/>
  <c r="V58" i="1"/>
  <c r="T58" i="1"/>
  <c r="S59" i="1"/>
  <c r="V57" i="1"/>
  <c r="U57" i="1"/>
  <c r="U56" i="1"/>
  <c r="T56" i="1"/>
  <c r="V56" i="1"/>
  <c r="V59" i="1"/>
  <c r="U59" i="1"/>
  <c r="T59" i="1"/>
</calcChain>
</file>

<file path=xl/sharedStrings.xml><?xml version="1.0" encoding="utf-8"?>
<sst xmlns="http://schemas.openxmlformats.org/spreadsheetml/2006/main" count="2197" uniqueCount="875">
  <si>
    <t>id</t>
  </si>
  <si>
    <t>name</t>
  </si>
  <si>
    <t>string</t>
  </si>
  <si>
    <t>Index</t>
    <phoneticPr fontId="1" type="noConversion"/>
  </si>
  <si>
    <t>affixType</t>
    <phoneticPr fontId="1" type="noConversion"/>
  </si>
  <si>
    <t>Enum:AffixType</t>
    <phoneticPr fontId="1" type="noConversion"/>
  </si>
  <si>
    <t>词缀类型</t>
    <phoneticPr fontId="1" type="noConversion"/>
  </si>
  <si>
    <t>Enum:AffixId</t>
    <phoneticPr fontId="1" type="noConversion"/>
  </si>
  <si>
    <t>prefix</t>
    <phoneticPr fontId="1" type="noConversion"/>
  </si>
  <si>
    <t>hit1</t>
  </si>
  <si>
    <t>xdmg1</t>
  </si>
  <si>
    <t>fdmg1</t>
  </si>
  <si>
    <t>tdmg1</t>
  </si>
  <si>
    <t>hdmg1</t>
  </si>
  <si>
    <t>pdmg1</t>
  </si>
  <si>
    <t>xed1</t>
  </si>
  <si>
    <t>fed1</t>
  </si>
  <si>
    <t>ted1</t>
  </si>
  <si>
    <t>hed1</t>
  </si>
  <si>
    <t>ped1</t>
  </si>
  <si>
    <t>ued1</t>
  </si>
  <si>
    <t>ded1</t>
  </si>
  <si>
    <t>ced1</t>
  </si>
  <si>
    <t>doted1</t>
  </si>
  <si>
    <t>hled1</t>
  </si>
  <si>
    <t>xdr1</t>
  </si>
  <si>
    <t>fdr1</t>
  </si>
  <si>
    <t>tdr1</t>
  </si>
  <si>
    <t>hdr1</t>
  </si>
  <si>
    <t>pdr1</t>
  </si>
  <si>
    <t>maxhp1</t>
  </si>
  <si>
    <t>maxmp1</t>
  </si>
  <si>
    <t>xres1</t>
  </si>
  <si>
    <t>fres1</t>
  </si>
  <si>
    <t>tres1</t>
  </si>
  <si>
    <t>hres1</t>
  </si>
  <si>
    <t>pres1</t>
  </si>
  <si>
    <t>luck1</t>
  </si>
  <si>
    <t>eg1</t>
  </si>
  <si>
    <t>suffix</t>
    <phoneticPr fontId="1" type="noConversion"/>
  </si>
  <si>
    <t>标识</t>
    <phoneticPr fontId="1" type="noConversion"/>
  </si>
  <si>
    <t>mhit1</t>
    <phoneticPr fontId="1" type="noConversion"/>
  </si>
  <si>
    <t>flvl1</t>
  </si>
  <si>
    <t>tlvl1</t>
  </si>
  <si>
    <t>magelvl1</t>
  </si>
  <si>
    <t>blvl1</t>
  </si>
  <si>
    <t>xlvl1</t>
  </si>
  <si>
    <t>warrlvl1</t>
  </si>
  <si>
    <t>hlvl1</t>
  </si>
  <si>
    <t>plvl1</t>
  </si>
  <si>
    <t>wlklvl1</t>
  </si>
  <si>
    <t>alvl1</t>
  </si>
  <si>
    <t>slvl1</t>
  </si>
  <si>
    <t>glvl1</t>
  </si>
  <si>
    <t>skfbltmage1</t>
  </si>
  <si>
    <t>skfrngmage1</t>
  </si>
  <si>
    <t>skfinfmage1</t>
  </si>
  <si>
    <t>skfbalmage1</t>
  </si>
  <si>
    <t>skfblsmage1</t>
  </si>
  <si>
    <t>skfwalmage1</t>
  </si>
  <si>
    <t>sktchmmage1</t>
  </si>
  <si>
    <t>sktbltmage1</t>
  </si>
  <si>
    <t>sktltnmage1</t>
  </si>
  <si>
    <t>sktnovmage1</t>
  </si>
  <si>
    <t>sktshdmage1</t>
  </si>
  <si>
    <t>sktblzmage1</t>
  </si>
  <si>
    <t>skbbaswarr1</t>
  </si>
  <si>
    <t>skbcrtwarr1</t>
  </si>
  <si>
    <t>skbthrwarr1</t>
  </si>
  <si>
    <t>skbclvwarr1</t>
  </si>
  <si>
    <t>skbcrzwarr1</t>
  </si>
  <si>
    <t>skbfblwarr1</t>
  </si>
  <si>
    <t>skxdefwarr1</t>
  </si>
  <si>
    <t>skxdogwarr1</t>
  </si>
  <si>
    <t>skxctawarr1</t>
  </si>
  <si>
    <t>skxwmswarr1</t>
  </si>
  <si>
    <t>skxchgwarr1</t>
  </si>
  <si>
    <t>skxtstwarr1</t>
  </si>
  <si>
    <t>skhhelwlok1</t>
  </si>
  <si>
    <t>skhgsdwlok1</t>
  </si>
  <si>
    <t>skhinvwlok1</t>
  </si>
  <si>
    <t>skhhsdwlok1</t>
  </si>
  <si>
    <t>skhlokwlok1</t>
  </si>
  <si>
    <t>skhmhlwlok1</t>
  </si>
  <si>
    <t>skpbaswlok1</t>
  </si>
  <si>
    <t>skppoiwlok1</t>
  </si>
  <si>
    <t>skpsklwlok1</t>
  </si>
  <si>
    <t>skprunwlok1</t>
  </si>
  <si>
    <t>skpcblwlok1</t>
  </si>
  <si>
    <t>skpsdmwlok1</t>
  </si>
  <si>
    <t>rw1</t>
    <phoneticPr fontId="1" type="noConversion"/>
  </si>
  <si>
    <t>mhex1</t>
    <phoneticPr fontId="1" type="noConversion"/>
  </si>
  <si>
    <t>mpex</t>
    <phoneticPr fontId="1" type="noConversion"/>
  </si>
  <si>
    <t>hreg1</t>
    <phoneticPr fontId="1" type="noConversion"/>
  </si>
  <si>
    <t>mreg1</t>
    <phoneticPr fontId="1" type="noConversion"/>
  </si>
  <si>
    <t>spd1</t>
    <phoneticPr fontId="1" type="noConversion"/>
  </si>
  <si>
    <t>doge1</t>
    <phoneticPr fontId="1" type="noConversion"/>
  </si>
  <si>
    <t>mdoge1</t>
    <phoneticPr fontId="1" type="noConversion"/>
  </si>
  <si>
    <t>crit1</t>
    <phoneticPr fontId="1" type="noConversion"/>
  </si>
  <si>
    <t>critd1</t>
    <phoneticPr fontId="1" type="noConversion"/>
  </si>
  <si>
    <t>scrit1</t>
    <phoneticPr fontId="1" type="noConversion"/>
  </si>
  <si>
    <t>scritd1</t>
    <phoneticPr fontId="1" type="noConversion"/>
  </si>
  <si>
    <t>ll1</t>
    <phoneticPr fontId="1" type="noConversion"/>
  </si>
  <si>
    <t>ml1</t>
    <phoneticPr fontId="1" type="noConversion"/>
  </si>
  <si>
    <t>atkfblt1</t>
    <phoneticPr fontId="1" type="noConversion"/>
  </si>
  <si>
    <t>atkfbal1</t>
    <phoneticPr fontId="1" type="noConversion"/>
  </si>
  <si>
    <t>atktblt1</t>
    <phoneticPr fontId="1" type="noConversion"/>
  </si>
  <si>
    <t>atktnov1</t>
    <phoneticPr fontId="1" type="noConversion"/>
  </si>
  <si>
    <t>atkhhel1</t>
    <phoneticPr fontId="1" type="noConversion"/>
  </si>
  <si>
    <t>atkpcbl1</t>
    <phoneticPr fontId="1" type="noConversion"/>
  </si>
  <si>
    <t>hitfrng1</t>
    <phoneticPr fontId="1" type="noConversion"/>
  </si>
  <si>
    <t>hithinv1</t>
    <phoneticPr fontId="1" type="noConversion"/>
  </si>
  <si>
    <t>availOn</t>
    <phoneticPr fontId="1" type="noConversion"/>
  </si>
  <si>
    <t>ItemType[]</t>
    <phoneticPr fontId="1" type="noConversion"/>
  </si>
  <si>
    <t>出现物品</t>
    <phoneticPr fontId="1" type="noConversion"/>
  </si>
  <si>
    <t>名称</t>
  </si>
  <si>
    <t>curs1</t>
  </si>
  <si>
    <t>fblt</t>
  </si>
  <si>
    <t>fbal</t>
  </si>
  <si>
    <t>tblt</t>
  </si>
  <si>
    <t>pcbl</t>
  </si>
  <si>
    <t>frng</t>
  </si>
  <si>
    <t>tnov</t>
  </si>
  <si>
    <t>hhel</t>
  </si>
  <si>
    <t>hinv</t>
  </si>
  <si>
    <t>skill</t>
  </si>
  <si>
    <t>触发技能</t>
  </si>
  <si>
    <t>statId</t>
  </si>
  <si>
    <t>StatId</t>
  </si>
  <si>
    <t>hit</t>
  </si>
  <si>
    <t>mhit</t>
  </si>
  <si>
    <t>xdmg</t>
  </si>
  <si>
    <t>fdmg</t>
  </si>
  <si>
    <t>tdmg</t>
  </si>
  <si>
    <t>hdmg</t>
  </si>
  <si>
    <t>pdmg</t>
  </si>
  <si>
    <t>number</t>
  </si>
  <si>
    <t>属性ID</t>
  </si>
  <si>
    <t>lo</t>
  </si>
  <si>
    <t>hi</t>
  </si>
  <si>
    <t>loIlvlDelta</t>
  </si>
  <si>
    <t>hiIlvlDelta</t>
  </si>
  <si>
    <t>xed</t>
  </si>
  <si>
    <t>fed</t>
  </si>
  <si>
    <t>ted</t>
  </si>
  <si>
    <t>hed</t>
  </si>
  <si>
    <t>ped</t>
  </si>
  <si>
    <t>ued</t>
  </si>
  <si>
    <t>ded</t>
  </si>
  <si>
    <t>ced</t>
  </si>
  <si>
    <t>doted</t>
  </si>
  <si>
    <t>hled</t>
  </si>
  <si>
    <t>xdr</t>
  </si>
  <si>
    <t>fdr</t>
  </si>
  <si>
    <t>tdr</t>
  </si>
  <si>
    <t>hdr</t>
  </si>
  <si>
    <t>pdr</t>
  </si>
  <si>
    <t>maxhp</t>
  </si>
  <si>
    <t>maxmp</t>
  </si>
  <si>
    <t>xres</t>
  </si>
  <si>
    <t>tres</t>
  </si>
  <si>
    <t>hres</t>
  </si>
  <si>
    <t>pres</t>
  </si>
  <si>
    <t>flvl</t>
  </si>
  <si>
    <t>tlvl</t>
  </si>
  <si>
    <t>magelvl</t>
  </si>
  <si>
    <t>下限</t>
  </si>
  <si>
    <t>上限</t>
  </si>
  <si>
    <t>下限D</t>
  </si>
  <si>
    <t>上限D</t>
  </si>
  <si>
    <t>fluctuate</t>
  </si>
  <si>
    <t>范围震荡</t>
  </si>
  <si>
    <t>fres</t>
  </si>
  <si>
    <t>blvl</t>
  </si>
  <si>
    <t>xlvl</t>
  </si>
  <si>
    <t>warrlvl</t>
  </si>
  <si>
    <t>hlvl</t>
  </si>
  <si>
    <t>plvl</t>
  </si>
  <si>
    <t>wlklvl</t>
  </si>
  <si>
    <t>alvl</t>
  </si>
  <si>
    <t>slvl</t>
  </si>
  <si>
    <t>glvl</t>
  </si>
  <si>
    <t>luck</t>
  </si>
  <si>
    <t>eg</t>
  </si>
  <si>
    <t>sok</t>
  </si>
  <si>
    <t>rw</t>
  </si>
  <si>
    <t>mhex</t>
  </si>
  <si>
    <t>mpex</t>
  </si>
  <si>
    <t>hreg</t>
  </si>
  <si>
    <t>mreg</t>
  </si>
  <si>
    <t>spd</t>
  </si>
  <si>
    <t>doge</t>
  </si>
  <si>
    <t>mdoge</t>
  </si>
  <si>
    <t>sok2</t>
  </si>
  <si>
    <t>sok3</t>
  </si>
  <si>
    <t>sok4</t>
  </si>
  <si>
    <t>sok5</t>
  </si>
  <si>
    <t>crit</t>
  </si>
  <si>
    <t>critd</t>
  </si>
  <si>
    <t>scrit</t>
  </si>
  <si>
    <t>scritd</t>
  </si>
  <si>
    <t>ll</t>
  </si>
  <si>
    <t>ml</t>
  </si>
  <si>
    <t>skfbltmage</t>
  </si>
  <si>
    <t>skfrngmage</t>
  </si>
  <si>
    <t>skfinfmage</t>
  </si>
  <si>
    <t>skfbalmage</t>
  </si>
  <si>
    <t>skfblsmage</t>
  </si>
  <si>
    <t>skfwalmage</t>
  </si>
  <si>
    <t>sktchmmage</t>
  </si>
  <si>
    <t>sktbltmage</t>
  </si>
  <si>
    <t>sktltnmage</t>
  </si>
  <si>
    <t>sktnovmage</t>
  </si>
  <si>
    <t>sktshdmage</t>
  </si>
  <si>
    <t>sktblzmage</t>
  </si>
  <si>
    <t>skbbaswarr</t>
  </si>
  <si>
    <t>skbcrtwarr</t>
  </si>
  <si>
    <t>skbthrwarr</t>
  </si>
  <si>
    <t>skbclvwarr</t>
  </si>
  <si>
    <t>skbcrzwarr</t>
  </si>
  <si>
    <t>skbfblwarr</t>
  </si>
  <si>
    <t>skxdefwarr</t>
  </si>
  <si>
    <t>skxdogwarr</t>
  </si>
  <si>
    <t>skxctawarr</t>
  </si>
  <si>
    <t>skxwmswarr</t>
  </si>
  <si>
    <t>skxchgwarr</t>
  </si>
  <si>
    <t>skxtstwarr</t>
  </si>
  <si>
    <t>skhhelwlok</t>
  </si>
  <si>
    <t>skhgsdwlok</t>
  </si>
  <si>
    <t>skhinvwlok</t>
  </si>
  <si>
    <t>skhhsdwlok</t>
  </si>
  <si>
    <t>str</t>
  </si>
  <si>
    <t>int</t>
  </si>
  <si>
    <t>spi</t>
  </si>
  <si>
    <t>str1</t>
  </si>
  <si>
    <t>int1</t>
  </si>
  <si>
    <t>spi1</t>
  </si>
  <si>
    <t>vit1</t>
  </si>
  <si>
    <t>vit</t>
  </si>
  <si>
    <t>skhlokwlok</t>
  </si>
  <si>
    <t>skhmhlwlok</t>
  </si>
  <si>
    <t>skpbaswlok</t>
  </si>
  <si>
    <t>skppoiwlok</t>
  </si>
  <si>
    <t>skpsklwlok</t>
  </si>
  <si>
    <t>skprunwlok</t>
  </si>
  <si>
    <t>skpcblwlok</t>
  </si>
  <si>
    <t>skpsdmwlok</t>
  </si>
  <si>
    <t>curs</t>
  </si>
  <si>
    <t>mxxres</t>
  </si>
  <si>
    <t>mxxres1</t>
  </si>
  <si>
    <t>mxfres</t>
  </si>
  <si>
    <t>mxfres1</t>
  </si>
  <si>
    <t>mxtres1</t>
  </si>
  <si>
    <t>mxhres1</t>
  </si>
  <si>
    <t>mxpres1</t>
  </si>
  <si>
    <t>mxtres</t>
  </si>
  <si>
    <t>mxhres</t>
  </si>
  <si>
    <t>mxpres</t>
  </si>
  <si>
    <t>ures</t>
  </si>
  <si>
    <t>dres</t>
  </si>
  <si>
    <t>cres</t>
  </si>
  <si>
    <t>c1res</t>
  </si>
  <si>
    <t>c23res</t>
  </si>
  <si>
    <t>dotres</t>
  </si>
  <si>
    <t>sumres</t>
  </si>
  <si>
    <t>ures1</t>
  </si>
  <si>
    <t>dres1</t>
  </si>
  <si>
    <t>cres1</t>
  </si>
  <si>
    <t>c1res1</t>
  </si>
  <si>
    <t>c23res1</t>
  </si>
  <si>
    <t>dotres1</t>
  </si>
  <si>
    <t>sumres1</t>
  </si>
  <si>
    <t>bles1</t>
  </si>
  <si>
    <t>bles</t>
  </si>
  <si>
    <t>moral1</t>
  </si>
  <si>
    <t>moral</t>
  </si>
  <si>
    <t>cb</t>
  </si>
  <si>
    <t>pmh</t>
  </si>
  <si>
    <t>cb1</t>
  </si>
  <si>
    <t>pmh1</t>
  </si>
  <si>
    <t>xref</t>
  </si>
  <si>
    <t>fref</t>
  </si>
  <si>
    <t>tref</t>
  </si>
  <si>
    <t>href</t>
  </si>
  <si>
    <t>pref</t>
  </si>
  <si>
    <t>xref1</t>
  </si>
  <si>
    <t>fref1</t>
  </si>
  <si>
    <t>tref1</t>
  </si>
  <si>
    <t>href1</t>
  </si>
  <si>
    <t>pref1</t>
  </si>
  <si>
    <t>sumreg</t>
  </si>
  <si>
    <t>xlr</t>
  </si>
  <si>
    <t>flr</t>
  </si>
  <si>
    <t>tlr</t>
  </si>
  <si>
    <t>hlr</t>
  </si>
  <si>
    <t>plr</t>
  </si>
  <si>
    <t>sumreg1</t>
  </si>
  <si>
    <t>xlr1</t>
  </si>
  <si>
    <t>flr1</t>
  </si>
  <si>
    <t>tlr1</t>
  </si>
  <si>
    <t>hlr1</t>
  </si>
  <si>
    <t>plr1</t>
  </si>
  <si>
    <t>skfblt1</t>
  </si>
  <si>
    <t>skfblt</t>
  </si>
  <si>
    <t>skfrng1</t>
  </si>
  <si>
    <t>skfrng</t>
  </si>
  <si>
    <t>skfinf1</t>
  </si>
  <si>
    <t>skfinf</t>
  </si>
  <si>
    <t>skfbal1</t>
  </si>
  <si>
    <t>skfbal</t>
  </si>
  <si>
    <t>skfbls1</t>
  </si>
  <si>
    <t>skfbls</t>
  </si>
  <si>
    <t>skfwal1</t>
  </si>
  <si>
    <t>skfwal</t>
  </si>
  <si>
    <t>sktchm1</t>
  </si>
  <si>
    <t>sktchm</t>
  </si>
  <si>
    <t>sktblt1</t>
  </si>
  <si>
    <t>sktblt</t>
  </si>
  <si>
    <t>sktltn1</t>
  </si>
  <si>
    <t>sktltn</t>
  </si>
  <si>
    <t>sktnov1</t>
  </si>
  <si>
    <t>sktnov</t>
  </si>
  <si>
    <t>sktshd1</t>
  </si>
  <si>
    <t>sktshd</t>
  </si>
  <si>
    <t>sktblz1</t>
  </si>
  <si>
    <t>sktblz</t>
  </si>
  <si>
    <t>skbbas1</t>
  </si>
  <si>
    <t>skbbas</t>
  </si>
  <si>
    <t>skbcrt1</t>
  </si>
  <si>
    <t>skbcrt</t>
  </si>
  <si>
    <t>skbthr1</t>
  </si>
  <si>
    <t>skbthr</t>
  </si>
  <si>
    <t>skbclv1</t>
  </si>
  <si>
    <t>skbclv</t>
  </si>
  <si>
    <t>skbcrz1</t>
  </si>
  <si>
    <t>skbcrz</t>
  </si>
  <si>
    <t>skbfbl1</t>
  </si>
  <si>
    <t>skbfbl</t>
  </si>
  <si>
    <t>skxdef1</t>
  </si>
  <si>
    <t>skxdef</t>
  </si>
  <si>
    <t>skxdog1</t>
  </si>
  <si>
    <t>skxdog</t>
  </si>
  <si>
    <t>skxcta1</t>
  </si>
  <si>
    <t>skxcta</t>
  </si>
  <si>
    <t>skxwms1</t>
  </si>
  <si>
    <t>skxwms</t>
  </si>
  <si>
    <t>skxchg1</t>
  </si>
  <si>
    <t>skxchg</t>
  </si>
  <si>
    <t>skxtst1</t>
  </si>
  <si>
    <t>skxtst</t>
  </si>
  <si>
    <t>skhhel1</t>
  </si>
  <si>
    <t>skhhel</t>
  </si>
  <si>
    <t>skhgsd1</t>
  </si>
  <si>
    <t>skhgsd</t>
  </si>
  <si>
    <t>skhinv1</t>
  </si>
  <si>
    <t>skhinv</t>
  </si>
  <si>
    <t>skhhsd1</t>
  </si>
  <si>
    <t>skhhsd</t>
  </si>
  <si>
    <t>skhlok1</t>
  </si>
  <si>
    <t>skhlok</t>
  </si>
  <si>
    <t>skhmhl1</t>
  </si>
  <si>
    <t>skhmhl</t>
  </si>
  <si>
    <t>skpbas1</t>
  </si>
  <si>
    <t>skpbas</t>
  </si>
  <si>
    <t>skppoi1</t>
  </si>
  <si>
    <t>skppoi</t>
  </si>
  <si>
    <t>skpskl1</t>
  </si>
  <si>
    <t>skpskl</t>
  </si>
  <si>
    <t>skprun1</t>
  </si>
  <si>
    <t>skprun</t>
  </si>
  <si>
    <t>skpcbl1</t>
  </si>
  <si>
    <t>skpcbl</t>
  </si>
  <si>
    <t>skpsdm1</t>
  </si>
  <si>
    <t>skpsdm</t>
  </si>
  <si>
    <t>setwargod</t>
  </si>
  <si>
    <t>setmara</t>
  </si>
  <si>
    <t>setjihad</t>
  </si>
  <si>
    <t>setghost</t>
  </si>
  <si>
    <t>setvenerable</t>
  </si>
  <si>
    <t>setmaster</t>
  </si>
  <si>
    <t>setdemon</t>
  </si>
  <si>
    <t>setmagegod</t>
  </si>
  <si>
    <t>setcolorful</t>
  </si>
  <si>
    <t>setblackiron</t>
  </si>
  <si>
    <t>setmysterious</t>
  </si>
  <si>
    <t>setmemory</t>
  </si>
  <si>
    <t>setvoma</t>
  </si>
  <si>
    <t>setzuma</t>
  </si>
  <si>
    <t>setredmoon</t>
  </si>
  <si>
    <t>setprisma</t>
  </si>
  <si>
    <t>setdragon</t>
  </si>
  <si>
    <t>setempire</t>
  </si>
  <si>
    <t>procatk</t>
  </si>
  <si>
    <t>prochit</t>
  </si>
  <si>
    <t>necklace</t>
  </si>
  <si>
    <t>sok1</t>
  </si>
  <si>
    <t>Group</t>
  </si>
  <si>
    <t>黄金之</t>
  </si>
  <si>
    <t>铂金之</t>
  </si>
  <si>
    <t>阴燃之</t>
  </si>
  <si>
    <t>烟熏之</t>
  </si>
  <si>
    <t>锋利之</t>
  </si>
  <si>
    <t>北风之</t>
  </si>
  <si>
    <t>蜂鸣之</t>
  </si>
  <si>
    <t>腐蚀之</t>
  </si>
  <si>
    <t>残忍之</t>
  </si>
  <si>
    <t>颤栗之</t>
  </si>
  <si>
    <t>弧光之</t>
  </si>
  <si>
    <t>剧毒之</t>
  </si>
  <si>
    <t>光辉之</t>
  </si>
  <si>
    <t>桃木之</t>
  </si>
  <si>
    <t>折磨之</t>
  </si>
  <si>
    <t>克星之</t>
  </si>
  <si>
    <t>医者之</t>
  </si>
  <si>
    <t>钻石之</t>
  </si>
  <si>
    <t>红宝石之</t>
  </si>
  <si>
    <t>蓝宝石之</t>
  </si>
  <si>
    <t>黄宝石之</t>
  </si>
  <si>
    <t>绿宝石之</t>
  </si>
  <si>
    <t>棘刺之</t>
  </si>
  <si>
    <t>熔岩之</t>
  </si>
  <si>
    <t>冰锥之</t>
  </si>
  <si>
    <t>结界之</t>
  </si>
  <si>
    <t>疫病之</t>
  </si>
  <si>
    <t>猛犸之</t>
  </si>
  <si>
    <t>灵狐之</t>
  </si>
  <si>
    <t>德鲁伊之</t>
  </si>
  <si>
    <t>灰白之</t>
  </si>
  <si>
    <t>猩红之</t>
  </si>
  <si>
    <t>橘黄之</t>
  </si>
  <si>
    <t>青绿之</t>
  </si>
  <si>
    <t>深蓝之</t>
  </si>
  <si>
    <t>壁垒之</t>
  </si>
  <si>
    <t>要塞之</t>
  </si>
  <si>
    <t>教堂之</t>
  </si>
  <si>
    <t>堡垒之</t>
  </si>
  <si>
    <t>熔炉之</t>
  </si>
  <si>
    <t>亡者之</t>
  </si>
  <si>
    <t>妖魔之</t>
  </si>
  <si>
    <t>精英之</t>
  </si>
  <si>
    <t>勇士之</t>
  </si>
  <si>
    <t>战术之</t>
  </si>
  <si>
    <t>忍耐之</t>
  </si>
  <si>
    <t>驯兽师之</t>
  </si>
  <si>
    <t>flvlmage1</t>
  </si>
  <si>
    <t>tlvlmage1</t>
  </si>
  <si>
    <t>blvlwarr1</t>
  </si>
  <si>
    <t>xlvlwarr1</t>
  </si>
  <si>
    <t>hlvlwlok1</t>
  </si>
  <si>
    <t>plvlwlok1</t>
  </si>
  <si>
    <t>火山之</t>
  </si>
  <si>
    <t>烈焰之</t>
  </si>
  <si>
    <t>冰川之</t>
  </si>
  <si>
    <t>冰冻之</t>
  </si>
  <si>
    <t>法神之</t>
  </si>
  <si>
    <t>战神之</t>
  </si>
  <si>
    <t>天尊之</t>
  </si>
  <si>
    <t>大师之</t>
  </si>
  <si>
    <t>老兵之</t>
  </si>
  <si>
    <t>狂战士之</t>
  </si>
  <si>
    <t>愤怒之</t>
  </si>
  <si>
    <t>始祖之</t>
  </si>
  <si>
    <t>上古之</t>
  </si>
  <si>
    <t>牧师之</t>
  </si>
  <si>
    <t>传教士之</t>
  </si>
  <si>
    <t>精通之</t>
  </si>
  <si>
    <t>灵感之</t>
  </si>
  <si>
    <t>角斗士之</t>
  </si>
  <si>
    <t>运气之</t>
  </si>
  <si>
    <t>财富之</t>
  </si>
  <si>
    <t>学徒之</t>
  </si>
  <si>
    <t>初学者之</t>
  </si>
  <si>
    <t>技工之</t>
  </si>
  <si>
    <t>专家之</t>
  </si>
  <si>
    <t>统帅之</t>
  </si>
  <si>
    <t>五行的</t>
  </si>
  <si>
    <t>巨鲸的</t>
  </si>
  <si>
    <t>古龙的</t>
  </si>
  <si>
    <t>巨魔的</t>
  </si>
  <si>
    <t>精灵的</t>
  </si>
  <si>
    <t>快速的</t>
  </si>
  <si>
    <t>迅捷的</t>
  </si>
  <si>
    <t>绝缘的</t>
  </si>
  <si>
    <t>弱点的</t>
  </si>
  <si>
    <t>屠杀的</t>
  </si>
  <si>
    <t>迷信的</t>
  </si>
  <si>
    <t>愚者的</t>
  </si>
  <si>
    <t>力量的</t>
  </si>
  <si>
    <t>智慧的</t>
  </si>
  <si>
    <t>精神的</t>
  </si>
  <si>
    <t>活力的</t>
  </si>
  <si>
    <t>吸血鬼的</t>
  </si>
  <si>
    <t>魅魔的</t>
  </si>
  <si>
    <t>火球的</t>
  </si>
  <si>
    <t>火环的</t>
  </si>
  <si>
    <t>地狱火的</t>
  </si>
  <si>
    <t>大火球的</t>
  </si>
  <si>
    <t>烈焰的</t>
  </si>
  <si>
    <t>火墙的</t>
  </si>
  <si>
    <t>诱惑的</t>
  </si>
  <si>
    <t>雷电的</t>
  </si>
  <si>
    <t>疾光的</t>
  </si>
  <si>
    <t>雷光的</t>
  </si>
  <si>
    <t>魔法盾的</t>
  </si>
  <si>
    <t>冰咆哮的</t>
  </si>
  <si>
    <t>基础的</t>
  </si>
  <si>
    <t>攻杀的</t>
  </si>
  <si>
    <t>刺杀的</t>
  </si>
  <si>
    <t>半月的</t>
  </si>
  <si>
    <t>十字的</t>
  </si>
  <si>
    <t>烈火的</t>
  </si>
  <si>
    <t>铁布衫的</t>
  </si>
  <si>
    <t>猎犬的</t>
  </si>
  <si>
    <t>龙皮的</t>
  </si>
  <si>
    <t>野蛮的</t>
  </si>
  <si>
    <t>霜冻踏地的</t>
  </si>
  <si>
    <t>治愈的</t>
  </si>
  <si>
    <t>狂战的</t>
  </si>
  <si>
    <t>幽灵盾的</t>
  </si>
  <si>
    <t>圣甲的</t>
  </si>
  <si>
    <t>困魔的</t>
  </si>
  <si>
    <t>隐身的</t>
  </si>
  <si>
    <t>责难的</t>
  </si>
  <si>
    <t>精神力的</t>
  </si>
  <si>
    <t>施毒的</t>
  </si>
  <si>
    <t>骷髅的</t>
  </si>
  <si>
    <t>火符的</t>
  </si>
  <si>
    <t>降魔的</t>
  </si>
  <si>
    <t>神兽的</t>
  </si>
  <si>
    <t>火球术的</t>
  </si>
  <si>
    <t>大火球术的</t>
  </si>
  <si>
    <t>雷电术的</t>
  </si>
  <si>
    <t>降魔术的</t>
  </si>
  <si>
    <t>火环术的</t>
  </si>
  <si>
    <t>雷光术的</t>
  </si>
  <si>
    <t>治愈术的</t>
  </si>
  <si>
    <t>隐身术的</t>
  </si>
  <si>
    <t>诅咒的</t>
  </si>
  <si>
    <t>祝福的</t>
  </si>
  <si>
    <t>士气的</t>
  </si>
  <si>
    <t>粉碎的</t>
  </si>
  <si>
    <t>恶毒的</t>
  </si>
  <si>
    <t>破甲的</t>
  </si>
  <si>
    <t>助燃的</t>
  </si>
  <si>
    <t>伤寒的</t>
  </si>
  <si>
    <t>定罪的</t>
  </si>
  <si>
    <t>虚弱的</t>
  </si>
  <si>
    <t>necklace,ring</t>
  </si>
  <si>
    <t>necklace,armor,ring</t>
  </si>
  <si>
    <t>skillChance</t>
  </si>
  <si>
    <t>number[]</t>
  </si>
  <si>
    <t>触发概率</t>
  </si>
  <si>
    <t>0.03,0.15</t>
  </si>
  <si>
    <t>SkillId</t>
  </si>
  <si>
    <t>prockill</t>
  </si>
  <si>
    <t>killfwal1</t>
  </si>
  <si>
    <t>fwal</t>
  </si>
  <si>
    <t>killbclv1</t>
  </si>
  <si>
    <t>bclv</t>
  </si>
  <si>
    <t>killxcta1</t>
  </si>
  <si>
    <t>xcta</t>
  </si>
  <si>
    <t>火墙术的</t>
  </si>
  <si>
    <t>killpskl1</t>
  </si>
  <si>
    <t>骷髅术的</t>
  </si>
  <si>
    <t>弯刀术的</t>
  </si>
  <si>
    <t>指挥术的</t>
  </si>
  <si>
    <t>pskl</t>
  </si>
  <si>
    <t>necklace,ring,charm1,charm2,charm3,staff,instrument</t>
  </si>
  <si>
    <t>sword,sword2h,dao,dao2h,dagger,axe,axe2h,mace,mace2h,polearm,staff,instrument</t>
  </si>
  <si>
    <t>necklace,charm3</t>
  </si>
  <si>
    <t>vits</t>
  </si>
  <si>
    <t>strs</t>
  </si>
  <si>
    <t>xeds</t>
  </si>
  <si>
    <t>necklace,ring,bracelet</t>
  </si>
  <si>
    <t>xdmglo1</t>
  </si>
  <si>
    <t>fdmglo1</t>
  </si>
  <si>
    <t>tdmglo1</t>
  </si>
  <si>
    <t>hdmglo1</t>
  </si>
  <si>
    <t>pdmglo1</t>
  </si>
  <si>
    <t>xdmghi1</t>
  </si>
  <si>
    <t>fdmghi1</t>
  </si>
  <si>
    <t>tdmghi1</t>
  </si>
  <si>
    <t>hdmghi1</t>
  </si>
  <si>
    <t>pdmghi1</t>
  </si>
  <si>
    <t>精锐之</t>
  </si>
  <si>
    <t>燃烧之</t>
  </si>
  <si>
    <t>冰盖之</t>
  </si>
  <si>
    <t>染病之</t>
  </si>
  <si>
    <t>剔骨之</t>
  </si>
  <si>
    <t>焚毁之</t>
  </si>
  <si>
    <t>凛冬之</t>
  </si>
  <si>
    <t>神怒之</t>
  </si>
  <si>
    <t>天罚之</t>
  </si>
  <si>
    <t>炭疽之</t>
  </si>
  <si>
    <t>xdmglo</t>
  </si>
  <si>
    <t>fdmglo</t>
  </si>
  <si>
    <t>tdmglo</t>
  </si>
  <si>
    <t>hdmglo</t>
  </si>
  <si>
    <t>pdmglo</t>
  </si>
  <si>
    <t>xdmghi</t>
  </si>
  <si>
    <t>fdmghi</t>
  </si>
  <si>
    <t>tdmghi</t>
  </si>
  <si>
    <t>hdmghi</t>
  </si>
  <si>
    <t>pdmghi</t>
  </si>
  <si>
    <t>ilvl</t>
  </si>
  <si>
    <t>需求物品等级</t>
  </si>
  <si>
    <t>level</t>
  </si>
  <si>
    <t>影响装备等级</t>
  </si>
  <si>
    <t>xdmgs</t>
  </si>
  <si>
    <t>fdmgs</t>
  </si>
  <si>
    <t>tdmgs</t>
  </si>
  <si>
    <t>hdmgs</t>
  </si>
  <si>
    <t>pdmgs</t>
  </si>
  <si>
    <t>ilvlScale</t>
  </si>
  <si>
    <t>物品等级系数</t>
  </si>
  <si>
    <t>xdrs</t>
  </si>
  <si>
    <t>fdrs</t>
  </si>
  <si>
    <t>tdrs</t>
  </si>
  <si>
    <t>hdrs</t>
  </si>
  <si>
    <t>pdrs</t>
  </si>
  <si>
    <t>feds</t>
  </si>
  <si>
    <t>teds</t>
  </si>
  <si>
    <t>heds</t>
  </si>
  <si>
    <t>peds</t>
  </si>
  <si>
    <t>xress</t>
  </si>
  <si>
    <t>fress</t>
  </si>
  <si>
    <t>tress</t>
  </si>
  <si>
    <t>hress</t>
  </si>
  <si>
    <t>press</t>
  </si>
  <si>
    <t>xlrs</t>
  </si>
  <si>
    <t>flrs</t>
  </si>
  <si>
    <t>tlrs</t>
  </si>
  <si>
    <t>hlrs</t>
  </si>
  <si>
    <t>plrs</t>
  </si>
  <si>
    <t>flvl2</t>
  </si>
  <si>
    <t>tlvl2</t>
  </si>
  <si>
    <t>flvlmage2</t>
  </si>
  <si>
    <t>tlvlmage2</t>
  </si>
  <si>
    <t>magelvl2</t>
  </si>
  <si>
    <t>blvl2</t>
  </si>
  <si>
    <t>xlvl2</t>
  </si>
  <si>
    <t>blvlwarr2</t>
  </si>
  <si>
    <t>xlvlwarr2</t>
  </si>
  <si>
    <t>warrlvl2</t>
  </si>
  <si>
    <t>hlvl2</t>
  </si>
  <si>
    <t>plvl2</t>
  </si>
  <si>
    <t>hlvlwlok2</t>
  </si>
  <si>
    <t>plvlwlok2</t>
  </si>
  <si>
    <t>wlklvl2</t>
  </si>
  <si>
    <t>alvl2</t>
  </si>
  <si>
    <t>slvl2</t>
  </si>
  <si>
    <t>glvl2</t>
  </si>
  <si>
    <t>flvl3</t>
  </si>
  <si>
    <t>tlvl3</t>
  </si>
  <si>
    <t>flvlmage3</t>
  </si>
  <si>
    <t>tlvlmage3</t>
  </si>
  <si>
    <t>magelvl3</t>
  </si>
  <si>
    <t>blvl3</t>
  </si>
  <si>
    <t>xlvl3</t>
  </si>
  <si>
    <t>blvlwarr3</t>
  </si>
  <si>
    <t>xlvlwarr3</t>
  </si>
  <si>
    <t>warrlvl3</t>
  </si>
  <si>
    <t>hlvl3</t>
  </si>
  <si>
    <t>plvl3</t>
  </si>
  <si>
    <t>hlvlwlok3</t>
  </si>
  <si>
    <t>plvlwlok3</t>
  </si>
  <si>
    <t>wlklvl3</t>
  </si>
  <si>
    <t>slvl3</t>
  </si>
  <si>
    <t>glvl3</t>
  </si>
  <si>
    <t>skfbltmage2</t>
  </si>
  <si>
    <t>skfrngmage2</t>
  </si>
  <si>
    <t>skfinfmage2</t>
  </si>
  <si>
    <t>skfbalmage2</t>
  </si>
  <si>
    <t>skfblsmage2</t>
  </si>
  <si>
    <t>skfwalmage2</t>
  </si>
  <si>
    <t>sktchmmage2</t>
  </si>
  <si>
    <t>sktbltmage2</t>
  </si>
  <si>
    <t>sktltnmage2</t>
  </si>
  <si>
    <t>sktnovmage2</t>
  </si>
  <si>
    <t>sktshdmage2</t>
  </si>
  <si>
    <t>sktblzmage2</t>
  </si>
  <si>
    <t>skbbaswarr2</t>
  </si>
  <si>
    <t>skbcrtwarr2</t>
  </si>
  <si>
    <t>skbthrwarr2</t>
  </si>
  <si>
    <t>skbclvwarr2</t>
  </si>
  <si>
    <t>skbcrzwarr2</t>
  </si>
  <si>
    <t>skbfblwarr2</t>
  </si>
  <si>
    <t>skxdefwarr2</t>
  </si>
  <si>
    <t>skxdogwarr2</t>
  </si>
  <si>
    <t>skxctawarr2</t>
  </si>
  <si>
    <t>skxwmswarr2</t>
  </si>
  <si>
    <t>skxchgwarr2</t>
  </si>
  <si>
    <t>skxtstwarr2</t>
  </si>
  <si>
    <t>skhhelwlok2</t>
  </si>
  <si>
    <t>skhgsdwlok2</t>
  </si>
  <si>
    <t>skhinvwlok2</t>
  </si>
  <si>
    <t>skhhsdwlok2</t>
  </si>
  <si>
    <t>skhlokwlok2</t>
  </si>
  <si>
    <t>skhmhlwlok2</t>
  </si>
  <si>
    <t>skpbaswlok2</t>
  </si>
  <si>
    <t>skppoiwlok2</t>
  </si>
  <si>
    <t>skpsklwlok2</t>
  </si>
  <si>
    <t>skprunwlok2</t>
  </si>
  <si>
    <t>skpcblwlok2</t>
  </si>
  <si>
    <t>skpsdmwlok2</t>
  </si>
  <si>
    <t>skfbltmage3</t>
  </si>
  <si>
    <t>skfrngmage3</t>
  </si>
  <si>
    <t>skfinfmage3</t>
  </si>
  <si>
    <t>skfbalmage3</t>
  </si>
  <si>
    <t>skfblsmage3</t>
  </si>
  <si>
    <t>skfwalmage3</t>
  </si>
  <si>
    <t>sktchmmage3</t>
  </si>
  <si>
    <t>sktbltmage3</t>
  </si>
  <si>
    <t>sktltnmage3</t>
  </si>
  <si>
    <t>sktnovmage3</t>
  </si>
  <si>
    <t>sktshdmage3</t>
  </si>
  <si>
    <t>sktblzmage3</t>
  </si>
  <si>
    <t>skbbaswarr3</t>
  </si>
  <si>
    <t>skbcrtwarr3</t>
  </si>
  <si>
    <t>skbthrwarr3</t>
  </si>
  <si>
    <t>skbclvwarr3</t>
  </si>
  <si>
    <t>skbcrzwarr3</t>
  </si>
  <si>
    <t>skbfblwarr3</t>
  </si>
  <si>
    <t>skxdefwarr3</t>
  </si>
  <si>
    <t>skxdogwarr3</t>
  </si>
  <si>
    <t>skxctawarr3</t>
  </si>
  <si>
    <t>skxwmswarr3</t>
  </si>
  <si>
    <t>skxchgwarr3</t>
  </si>
  <si>
    <t>skxtstwarr3</t>
  </si>
  <si>
    <t>skhhelwlok3</t>
  </si>
  <si>
    <t>skhgsdwlok3</t>
  </si>
  <si>
    <t>skhinvwlok3</t>
  </si>
  <si>
    <t>skhhsdwlok3</t>
  </si>
  <si>
    <t>skhlokwlok3</t>
  </si>
  <si>
    <t>skhmhlwlok3</t>
  </si>
  <si>
    <t>skpbaswlok3</t>
  </si>
  <si>
    <t>skppoiwlok3</t>
  </si>
  <si>
    <t>skpsklwlok3</t>
  </si>
  <si>
    <t>skprunwlok3</t>
  </si>
  <si>
    <t>skpcblwlok3</t>
  </si>
  <si>
    <t>skpsdmwlok3</t>
  </si>
  <si>
    <t>flvlmage</t>
  </si>
  <si>
    <t>tlvlmage</t>
  </si>
  <si>
    <t>blvlwarr</t>
  </si>
  <si>
    <t>xlvlwarr</t>
  </si>
  <si>
    <t>hlvlwlok</t>
  </si>
  <si>
    <t>plvlwlok</t>
  </si>
  <si>
    <t>weight</t>
  </si>
  <si>
    <t>权重</t>
  </si>
  <si>
    <t>magelvlmage</t>
  </si>
  <si>
    <t>warrlvlwarr</t>
  </si>
  <si>
    <t>wlklvlwlk</t>
  </si>
  <si>
    <t>隐秘法神之</t>
  </si>
  <si>
    <t>warlvl1</t>
  </si>
  <si>
    <t>maglvl1</t>
  </si>
  <si>
    <t>隐秘战神之</t>
  </si>
  <si>
    <t>wloklvl1</t>
  </si>
  <si>
    <t>隐秘天尊之</t>
  </si>
  <si>
    <t>maglvl2</t>
  </si>
  <si>
    <t>warlvl2</t>
  </si>
  <si>
    <t>wloklvl2</t>
  </si>
  <si>
    <t>maglvl3</t>
  </si>
  <si>
    <t>warlvl3</t>
  </si>
  <si>
    <t>wloklvl3</t>
  </si>
  <si>
    <t>group</t>
  </si>
  <si>
    <t>分组</t>
  </si>
  <si>
    <t>boolean</t>
  </si>
  <si>
    <t>groupExclusive</t>
  </si>
  <si>
    <t>分组排他</t>
  </si>
  <si>
    <t>mage_flvl</t>
  </si>
  <si>
    <t>mage_tlvl</t>
  </si>
  <si>
    <t>mage_lvl</t>
  </si>
  <si>
    <t>warr_blvl</t>
  </si>
  <si>
    <t>warr_xlvl</t>
  </si>
  <si>
    <t>warr_lvl</t>
  </si>
  <si>
    <t>wlok_hlvl</t>
  </si>
  <si>
    <t>wlok_plvl</t>
  </si>
  <si>
    <t>wlok_lvl</t>
  </si>
  <si>
    <t>all_lvl</t>
  </si>
  <si>
    <t>sum_lvl</t>
  </si>
  <si>
    <t>gard_lvl</t>
  </si>
  <si>
    <t>fblt_lvl</t>
  </si>
  <si>
    <t>frng_lvl</t>
  </si>
  <si>
    <t>finf_lvl</t>
  </si>
  <si>
    <t>fbal_lvl</t>
  </si>
  <si>
    <t>fbls_lvl</t>
  </si>
  <si>
    <t>fwal_lvl</t>
  </si>
  <si>
    <t>tchm_lvl</t>
  </si>
  <si>
    <t>tblt_lvl</t>
  </si>
  <si>
    <t>tltn_lvl</t>
  </si>
  <si>
    <t>tnov_lvl</t>
  </si>
  <si>
    <t>tshd_lvl</t>
  </si>
  <si>
    <t>tblz_lvl</t>
  </si>
  <si>
    <t>bbas_lvl</t>
  </si>
  <si>
    <t>bcrt_lvl</t>
  </si>
  <si>
    <t>bthr_lvl</t>
  </si>
  <si>
    <t>bclv_lvl</t>
  </si>
  <si>
    <t>bcrz_lvl</t>
  </si>
  <si>
    <t>bfbl_lvl</t>
  </si>
  <si>
    <t>xdef_lvl</t>
  </si>
  <si>
    <t>xdog_lvl</t>
  </si>
  <si>
    <t>xcta_lvl</t>
  </si>
  <si>
    <t>xwms_lvl</t>
  </si>
  <si>
    <t>xchg_lvl</t>
  </si>
  <si>
    <t>xtst_lvl</t>
  </si>
  <si>
    <t>hhel_lvl</t>
  </si>
  <si>
    <t>hgsd_lvl</t>
  </si>
  <si>
    <t>hinv_lvl</t>
  </si>
  <si>
    <t>hhsd_lvl</t>
  </si>
  <si>
    <t>hlok_lvl</t>
  </si>
  <si>
    <t>hmhl_lvl</t>
  </si>
  <si>
    <t>pbas_lvl</t>
  </si>
  <si>
    <t>ppoi_lvl</t>
  </si>
  <si>
    <t>pskl_lvl</t>
  </si>
  <si>
    <t>prun_lvl</t>
  </si>
  <si>
    <t>pcbl_lvl</t>
  </si>
  <si>
    <t>psdm_lvl</t>
  </si>
  <si>
    <t>string[]</t>
  </si>
  <si>
    <t>expex1</t>
  </si>
  <si>
    <t>学识之</t>
  </si>
  <si>
    <t>expex</t>
  </si>
  <si>
    <t>d2m1</t>
  </si>
  <si>
    <t>内力的</t>
  </si>
  <si>
    <t>d2m</t>
  </si>
  <si>
    <t>col1ed1</t>
  </si>
  <si>
    <t>col23ed1</t>
  </si>
  <si>
    <t>sumed1</t>
  </si>
  <si>
    <t>强袭之</t>
  </si>
  <si>
    <t>射手之</t>
  </si>
  <si>
    <t>驯犬者之</t>
  </si>
  <si>
    <t>col1ed</t>
  </si>
  <si>
    <t>col23ed</t>
  </si>
  <si>
    <t>sumed</t>
  </si>
  <si>
    <t>killhp1</t>
  </si>
  <si>
    <t>killmp1</t>
  </si>
  <si>
    <t>嗜血的</t>
  </si>
  <si>
    <t>噬灵的</t>
  </si>
  <si>
    <t>killhp</t>
  </si>
  <si>
    <t>killmp</t>
  </si>
  <si>
    <t>resil1</t>
  </si>
  <si>
    <t>强韧的</t>
  </si>
  <si>
    <t>suffix</t>
  </si>
  <si>
    <t>resil</t>
  </si>
  <si>
    <t>barg1</t>
  </si>
  <si>
    <t>吟游诗人之</t>
  </si>
  <si>
    <t>barg</t>
  </si>
  <si>
    <t>debuffrd1</t>
  </si>
  <si>
    <t>赦免的</t>
  </si>
  <si>
    <t>debuffrd</t>
  </si>
  <si>
    <t>necklace,armor,ring,helm,pauldron,taorobe,bracelet,glove,magesigil,belt,pant,boot,charm1,charm2,charm3</t>
  </si>
  <si>
    <t>helm,pauldron,armor,taorobe,bracelet,glove,magesigil,belt,pant,boot,necklace</t>
  </si>
  <si>
    <t>helm,pauldron,armor,taorobe,bracelet,glove,magesigil,belt,pant,boot,necklace,ring,charm1,charm2,charm3</t>
  </si>
  <si>
    <t>necklace,ring,sword,woodsword,sword2h,ugs,dao,katana,dao2h,axe,axe2h,mace,mace2h,dagger,staff,magestaff,polearm,instrument</t>
  </si>
  <si>
    <t>helm,pauldron,armor,taorobe,bracelet,glove,magesigil,belt,pant,boot,necklace,ring,charm1,charm2,charm3,sword,woodsword,sword2h,ugs,dao,katana,dao2h,axe,axe2h,mace,mace2h,dagger,staff,magestaff,polearm,instrument</t>
  </si>
  <si>
    <t>necklace,ring,sword,woodsword,sword2h,ugs,dao,katana,dao2h,axe,axe2h,mace,mace2h,dagger,polearm</t>
  </si>
  <si>
    <t>necklace,armor,ring,helm,pauldron,taorobe,bracelet,glove,magesigil,belt,pant,boot,charm1,charm2,charm3,woodsword,magestaff,instrument</t>
  </si>
  <si>
    <t>necklace,ring,woodsword,magestaff,instrument,helm,taorobe,magesigil,charm1,charm2,charm3</t>
  </si>
  <si>
    <t>necklace,sword,woodsword,sword2h,ugs,dao,katana,dao2h,axe,axe2h,mace,mace2h,dagger,staff,magestaff,polearm,instrument,helm,glove,charm2,charm3</t>
  </si>
  <si>
    <t>necklace,sword,woodsword,sword2h,ugs,dao,katana,dao2h,axe,axe2h,mace,mace2h,dagger,staff,magestaff,polearm,instrument,helm,taorobe,glove,magesigil,charm2,charm3</t>
  </si>
  <si>
    <t>necklace,ring,sword,woodsword,sword2h,ugs,dao,katana,dao2h,axe,axe2h,mace,mace2h,dagger,staff,magestaff,polearm,instrument,charm3</t>
  </si>
  <si>
    <t>necklace,ring,sword,woodsword,sword2h,ugs,dao,katana,dao2h,axe,axe2h,mace,mace2h,dagger,staff,magestaff,polearm,instrument,charm2,charm3</t>
  </si>
  <si>
    <t>necklace,armor,charm1,charm2,charm3,bracelet,taorobe,glove,magesigil,pant,ring</t>
  </si>
  <si>
    <t>necklace,armor,charm1,charm2,charm3,bracelet,helm,pauldron,taorobe,belt,ring</t>
  </si>
  <si>
    <t>necklace,ring,bracelet,dagger,boot</t>
  </si>
  <si>
    <t>necklace,ring,helm,pauldron,glove,magesigil,pant</t>
  </si>
  <si>
    <t>necklace,pauldron,armor,taorobe,belt,boot,ring,charm1,charm2,charm3</t>
  </si>
  <si>
    <t>necklace,charm1,charm2,charm3,helm,glove,magesigil,belt,pant</t>
  </si>
  <si>
    <t>necklace,ring,sword2h,ugs,dao2h,axe2h,mace2h</t>
  </si>
  <si>
    <t>armor,taorobe,belt,boot,glove,magesigil,helm,necklace,pant,pauldron,ring,sword,woodsword,sword2h,ugs,dao,katana,dao2h,dagger,axe,axe2h,mace,mace2h,staff,magestaff,polearm,instrument,bracelet</t>
  </si>
  <si>
    <t>armor,taorobe,boot,glove,magesigil,helm,pant,pauldron,sword,woodsword,sword2h,ugs,dao,katana,dao2h,dagger,axe,axe2h,mace,mace2h,staff,magestaff,polearm,instrument,bracelet</t>
  </si>
  <si>
    <t>armor,taorobe,helm,pant,sword,woodsword,sword2h,ugs,dao,katana,dao2h,axe,axe2h,mace,mace2h,staff,magestaff,polearm,instrument</t>
  </si>
  <si>
    <t>armor,taorobe,sword,woodsword,sword2h,ugs,dao,katana,dao2h,axe,axe2h,mace,mace2h,staff,magestaff,polearm</t>
  </si>
  <si>
    <t>sword2h,ugs,dao2h,axe2h,mace2h,staff,magestaff</t>
  </si>
  <si>
    <t>necklace,armor,taorobe,ring,bracelet,pant,boot,dao,katana,dagger</t>
  </si>
  <si>
    <t>necklace,ring,charm1,charm2,charm3,sword,sword2h,dao,dao2h,dagger,axe,axe2h,mace,mace2h,polearm,helm,pauldron,glove,magesigil,belt,woodsword,ugs,katana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</si>
</sst>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9"/>
  <sheetViews>
    <sheetView tabSelected="1" workbookViewId="0">
      <pane ySplit="4" topLeftCell="A5" activePane="bottomLeft" state="frozen"/>
      <selection pane="bottomLeft" activeCell="K9" sqref="K9"/>
    </sheetView>
  </sheetViews>
  <sheetFormatPr defaultColWidth="9" defaultRowHeight="15"/>
  <cols>
    <col min="1" max="1" width="10.85546875" style="1" customWidth="1"/>
    <col min="2" max="2" width="12.28515625" style="1" bestFit="1" customWidth="1"/>
    <col min="3" max="3" width="8.7109375" style="1" customWidth="1"/>
    <col min="4" max="4" width="8" style="1" customWidth="1"/>
    <col min="5" max="8" width="6.42578125" style="1" customWidth="1"/>
    <col min="9" max="12" width="7.28515625" style="1" customWidth="1"/>
    <col min="13" max="22" width="7.85546875" style="1" customWidth="1"/>
    <col min="23" max="16384" width="9" style="1"/>
  </cols>
  <sheetData>
    <row r="1" spans="1:24">
      <c r="A1" s="1" t="s">
        <v>0</v>
      </c>
      <c r="B1" s="1" t="s">
        <v>1</v>
      </c>
      <c r="C1" s="1" t="s">
        <v>4</v>
      </c>
      <c r="D1" s="1" t="s">
        <v>127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613</v>
      </c>
      <c r="J1" s="1" t="s">
        <v>170</v>
      </c>
      <c r="K1" s="1" t="s">
        <v>125</v>
      </c>
      <c r="L1" s="1" t="s">
        <v>549</v>
      </c>
      <c r="M1" s="1" t="s">
        <v>112</v>
      </c>
      <c r="N1" s="1" t="s">
        <v>764</v>
      </c>
      <c r="O1" s="1" t="s">
        <v>767</v>
      </c>
      <c r="P1" s="1" t="s">
        <v>604</v>
      </c>
      <c r="Q1" s="1" t="s">
        <v>606</v>
      </c>
      <c r="R1" s="1" t="s">
        <v>747</v>
      </c>
    </row>
    <row r="2" spans="1:24">
      <c r="A2" s="1" t="s">
        <v>7</v>
      </c>
      <c r="B2" s="1" t="s">
        <v>2</v>
      </c>
      <c r="C2" s="1" t="s">
        <v>5</v>
      </c>
      <c r="D2" s="1" t="s">
        <v>128</v>
      </c>
      <c r="E2" s="1" t="s">
        <v>136</v>
      </c>
      <c r="F2" s="1" t="s">
        <v>136</v>
      </c>
      <c r="G2" s="1" t="s">
        <v>136</v>
      </c>
      <c r="H2" s="1" t="s">
        <v>136</v>
      </c>
      <c r="I2" s="1" t="s">
        <v>136</v>
      </c>
      <c r="J2" s="1" t="s">
        <v>136</v>
      </c>
      <c r="K2" s="1" t="s">
        <v>553</v>
      </c>
      <c r="L2" s="1" t="s">
        <v>550</v>
      </c>
      <c r="M2" s="1" t="s">
        <v>113</v>
      </c>
      <c r="N2" s="1" t="s">
        <v>817</v>
      </c>
      <c r="O2" s="1" t="s">
        <v>766</v>
      </c>
      <c r="P2" s="1" t="s">
        <v>136</v>
      </c>
      <c r="Q2" s="1" t="s">
        <v>136</v>
      </c>
      <c r="R2" s="1" t="s">
        <v>136</v>
      </c>
      <c r="S2" s="1">
        <v>0</v>
      </c>
      <c r="T2" s="1">
        <v>0</v>
      </c>
      <c r="U2" s="1">
        <v>5</v>
      </c>
    </row>
    <row r="3" spans="1:24">
      <c r="A3" s="1" t="s">
        <v>3</v>
      </c>
      <c r="M3" s="1" t="s">
        <v>396</v>
      </c>
      <c r="S3" s="1">
        <v>0</v>
      </c>
      <c r="T3" s="1">
        <v>4</v>
      </c>
      <c r="U3" s="1">
        <v>4</v>
      </c>
    </row>
    <row r="4" spans="1:24">
      <c r="A4" s="2" t="s">
        <v>40</v>
      </c>
      <c r="B4" s="2" t="s">
        <v>115</v>
      </c>
      <c r="C4" s="2" t="s">
        <v>6</v>
      </c>
      <c r="D4" s="2" t="s">
        <v>137</v>
      </c>
      <c r="E4" s="2" t="s">
        <v>166</v>
      </c>
      <c r="F4" s="2" t="s">
        <v>167</v>
      </c>
      <c r="G4" s="2" t="s">
        <v>168</v>
      </c>
      <c r="H4" s="2" t="s">
        <v>169</v>
      </c>
      <c r="I4" s="2" t="s">
        <v>614</v>
      </c>
      <c r="J4" s="2" t="s">
        <v>171</v>
      </c>
      <c r="K4" s="2" t="s">
        <v>126</v>
      </c>
      <c r="L4" s="2" t="s">
        <v>551</v>
      </c>
      <c r="M4" s="2" t="s">
        <v>114</v>
      </c>
      <c r="N4" s="2" t="s">
        <v>765</v>
      </c>
      <c r="O4" s="2" t="s">
        <v>768</v>
      </c>
      <c r="P4" s="2" t="s">
        <v>605</v>
      </c>
      <c r="Q4" s="2" t="s">
        <v>607</v>
      </c>
      <c r="R4" s="2" t="s">
        <v>748</v>
      </c>
    </row>
    <row r="5" spans="1:24">
      <c r="A5" s="1" t="s">
        <v>9</v>
      </c>
      <c r="B5" s="1" t="s">
        <v>397</v>
      </c>
      <c r="C5" s="1" t="s">
        <v>8</v>
      </c>
      <c r="D5" s="1" t="s">
        <v>129</v>
      </c>
      <c r="E5" s="1">
        <v>0.5</v>
      </c>
      <c r="F5" s="1">
        <v>1</v>
      </c>
      <c r="G5" s="1">
        <v>0.12</v>
      </c>
      <c r="H5" s="1">
        <v>0.4</v>
      </c>
      <c r="M5" s="1" t="s">
        <v>874</v>
      </c>
      <c r="R5" s="1">
        <v>100</v>
      </c>
      <c r="S5" s="1" t="str">
        <f t="shared" ref="S5:U6" si="0">_xlfn.LET(_xlpm.a,($E5+S$3*$G5)*(1+S$2),_xlpm.b,($F5+S$3*$H5)*(1+S$2),_xlpm.a&amp;"-"&amp;_xlpm.b)</f>
        <v>0.5-1</v>
      </c>
      <c r="T5" s="1" t="str">
        <f t="shared" si="0"/>
        <v>0.98-2.6</v>
      </c>
      <c r="U5" s="1" t="str">
        <f t="shared" si="0"/>
        <v>5.88-15.6</v>
      </c>
      <c r="V5" s="1">
        <f>_xlfn.LET(_xlpm.a,($E5+U$3*$G5)*(1+U$2),_xlpm.b,($F5+U$3*$H5)*(1+U$2),_xlpm.a/2+_xlpm.b/2)</f>
        <v>10.74</v>
      </c>
    </row>
    <row r="6" spans="1:24">
      <c r="A6" s="1" t="s">
        <v>41</v>
      </c>
      <c r="B6" s="1" t="s">
        <v>398</v>
      </c>
      <c r="C6" s="1" t="s">
        <v>8</v>
      </c>
      <c r="D6" s="1" t="s">
        <v>130</v>
      </c>
      <c r="E6" s="1">
        <v>0.5</v>
      </c>
      <c r="F6" s="1">
        <v>1</v>
      </c>
      <c r="G6" s="1">
        <v>0.12</v>
      </c>
      <c r="H6" s="1">
        <v>0.4</v>
      </c>
      <c r="M6" s="1" t="s">
        <v>567</v>
      </c>
      <c r="R6" s="1">
        <v>100</v>
      </c>
      <c r="S6" s="1" t="str">
        <f t="shared" si="0"/>
        <v>0.5-1</v>
      </c>
      <c r="T6" s="1" t="str">
        <f t="shared" si="0"/>
        <v>0.98-2.6</v>
      </c>
      <c r="U6" s="1" t="str">
        <f t="shared" si="0"/>
        <v>5.88-15.6</v>
      </c>
      <c r="V6" s="1">
        <f>_xlfn.LET(_xlpm.a,($E6+U$3*$G6)*(1+U$2),_xlpm.b,($F6+U$3*$H6)*(1+U$2),_xlpm.a/2+_xlpm.b/2)</f>
        <v>10.74</v>
      </c>
    </row>
    <row r="7" spans="1:24">
      <c r="A7" s="1" t="s">
        <v>10</v>
      </c>
      <c r="B7" s="1" t="s">
        <v>401</v>
      </c>
      <c r="C7" s="1" t="s">
        <v>8</v>
      </c>
      <c r="D7" s="1" t="s">
        <v>131</v>
      </c>
      <c r="E7" s="1">
        <v>3</v>
      </c>
      <c r="F7" s="1">
        <v>7</v>
      </c>
      <c r="G7" s="1">
        <v>7</v>
      </c>
      <c r="H7" s="1">
        <v>21</v>
      </c>
      <c r="J7" s="1">
        <v>0.15</v>
      </c>
      <c r="M7" s="1" t="s">
        <v>859</v>
      </c>
      <c r="R7" s="1">
        <v>100</v>
      </c>
      <c r="S7" s="1" t="str">
        <f t="shared" ref="S7:S27" si="1">_xlfn.LET(_xlpm.a,($E7+S$3*$G7)*(1+S$2),_xlpm.b,($F7+S$3*$H7)*(1+S$2),_xlpm.a&amp;"-"&amp;_xlpm.b)</f>
        <v>3-7</v>
      </c>
      <c r="T7" s="1" t="str">
        <f t="shared" ref="T7:U39" si="2">_xlfn.LET(_xlpm.a,($E7+T$3*$G7)*(1+T$2),_xlpm.b,($F7+T$3*$H7)*(1+T$2),_xlpm.a&amp;"-"&amp;_xlpm.b)</f>
        <v>31-91</v>
      </c>
      <c r="U7" s="1" t="str">
        <f t="shared" si="2"/>
        <v>186-546</v>
      </c>
      <c r="V7" s="1">
        <f>_xlfn.LET(_xlpm.a,($E7+U$3*$G7)*(1+U$2),_xlpm.b,($F7+U$3*$H7)*(1+U$2),_xlpm.a/2+_xlpm.b/2)</f>
        <v>366</v>
      </c>
      <c r="W7" s="1">
        <f>V7*0.5</f>
        <v>183</v>
      </c>
      <c r="X7" s="1">
        <f>V7*1.5</f>
        <v>549</v>
      </c>
    </row>
    <row r="8" spans="1:24">
      <c r="A8" s="1" t="s">
        <v>11</v>
      </c>
      <c r="B8" s="1" t="s">
        <v>400</v>
      </c>
      <c r="C8" s="1" t="s">
        <v>8</v>
      </c>
      <c r="D8" s="1" t="s">
        <v>132</v>
      </c>
      <c r="E8" s="1">
        <v>4</v>
      </c>
      <c r="F8" s="1">
        <v>6</v>
      </c>
      <c r="G8" s="1">
        <v>12</v>
      </c>
      <c r="H8" s="1">
        <v>16</v>
      </c>
      <c r="J8" s="1">
        <v>0.15</v>
      </c>
      <c r="M8" s="1" t="s">
        <v>859</v>
      </c>
      <c r="R8" s="1">
        <v>100</v>
      </c>
      <c r="S8" s="1" t="str">
        <f t="shared" si="1"/>
        <v>4-6</v>
      </c>
      <c r="T8" s="1" t="str">
        <f t="shared" si="2"/>
        <v>52-70</v>
      </c>
      <c r="U8" s="1" t="str">
        <f t="shared" si="2"/>
        <v>312-420</v>
      </c>
      <c r="V8" s="1">
        <f>_xlfn.LET(_xlpm.a,($E8+U$3*$G8)*(1+U$2),_xlpm.b,($F8+U$3*$H8)*(1+U$2),_xlpm.a/2+_xlpm.b/2)</f>
        <v>366</v>
      </c>
    </row>
    <row r="9" spans="1:24">
      <c r="A9" s="1" t="s">
        <v>12</v>
      </c>
      <c r="B9" s="1" t="s">
        <v>402</v>
      </c>
      <c r="C9" s="1" t="s">
        <v>8</v>
      </c>
      <c r="D9" s="1" t="s">
        <v>133</v>
      </c>
      <c r="E9" s="1">
        <v>1</v>
      </c>
      <c r="F9" s="1">
        <v>9</v>
      </c>
      <c r="G9" s="1">
        <v>3</v>
      </c>
      <c r="H9" s="1">
        <v>25</v>
      </c>
      <c r="J9" s="1">
        <v>0.15</v>
      </c>
      <c r="M9" s="1" t="s">
        <v>859</v>
      </c>
      <c r="R9" s="1">
        <v>100</v>
      </c>
      <c r="S9" s="1" t="str">
        <f t="shared" si="1"/>
        <v>1-9</v>
      </c>
      <c r="T9" s="1" t="str">
        <f t="shared" si="2"/>
        <v>13-109</v>
      </c>
      <c r="U9" s="1" t="str">
        <f t="shared" si="2"/>
        <v>78-654</v>
      </c>
      <c r="V9" s="1">
        <f>_xlfn.LET(_xlpm.a,($E9+U$3*$G9)*(1+U$2),_xlpm.b,($F9+U$3*$H9)*(1+U$2),_xlpm.a/2+_xlpm.b/2)</f>
        <v>366</v>
      </c>
    </row>
    <row r="10" spans="1:24">
      <c r="A10" s="1" t="s">
        <v>13</v>
      </c>
      <c r="B10" s="1" t="s">
        <v>403</v>
      </c>
      <c r="C10" s="1" t="s">
        <v>8</v>
      </c>
      <c r="D10" s="1" t="s">
        <v>134</v>
      </c>
      <c r="E10" s="1">
        <v>5</v>
      </c>
      <c r="F10" s="1">
        <v>5</v>
      </c>
      <c r="G10" s="1">
        <v>14</v>
      </c>
      <c r="H10" s="1">
        <v>14</v>
      </c>
      <c r="J10" s="1">
        <v>0.15</v>
      </c>
      <c r="M10" s="1" t="s">
        <v>859</v>
      </c>
      <c r="R10" s="1">
        <v>100</v>
      </c>
      <c r="S10" s="1" t="str">
        <f t="shared" si="1"/>
        <v>5-5</v>
      </c>
      <c r="T10" s="1" t="str">
        <f t="shared" si="2"/>
        <v>61-61</v>
      </c>
      <c r="U10" s="1" t="str">
        <f t="shared" si="2"/>
        <v>366-366</v>
      </c>
      <c r="V10" s="1">
        <f t="shared" ref="V10:V146" si="3">_xlfn.LET(_xlpm.a,($E10+U$3*$G10)*(1+U$2),_xlpm.b,($F10+U$3*$H10)*(1+U$2),_xlpm.a/2+_xlpm.b/2)</f>
        <v>366</v>
      </c>
    </row>
    <row r="11" spans="1:24">
      <c r="A11" s="1" t="s">
        <v>14</v>
      </c>
      <c r="B11" s="1" t="s">
        <v>404</v>
      </c>
      <c r="C11" s="1" t="s">
        <v>8</v>
      </c>
      <c r="D11" s="1" t="s">
        <v>135</v>
      </c>
      <c r="E11" s="1">
        <v>0</v>
      </c>
      <c r="F11" s="1">
        <v>10</v>
      </c>
      <c r="G11" s="1">
        <v>0</v>
      </c>
      <c r="H11" s="1">
        <v>28</v>
      </c>
      <c r="J11" s="1">
        <v>0.15</v>
      </c>
      <c r="M11" s="1" t="s">
        <v>859</v>
      </c>
      <c r="R11" s="1">
        <v>100</v>
      </c>
      <c r="S11" s="1" t="str">
        <f t="shared" si="1"/>
        <v>0-10</v>
      </c>
      <c r="T11" s="1" t="str">
        <f t="shared" si="2"/>
        <v>0-122</v>
      </c>
      <c r="U11" s="1" t="str">
        <f t="shared" si="2"/>
        <v>0-732</v>
      </c>
      <c r="V11" s="1">
        <f t="shared" si="3"/>
        <v>366</v>
      </c>
    </row>
    <row r="12" spans="1:24">
      <c r="A12" s="1" t="s">
        <v>608</v>
      </c>
      <c r="B12" s="1" t="s">
        <v>608</v>
      </c>
      <c r="C12" s="1" t="s">
        <v>8</v>
      </c>
      <c r="D12" s="1" t="s">
        <v>131</v>
      </c>
      <c r="E12" s="1">
        <v>30</v>
      </c>
      <c r="F12" s="1">
        <v>90</v>
      </c>
      <c r="G12" s="1">
        <v>0</v>
      </c>
      <c r="H12" s="1">
        <v>0</v>
      </c>
      <c r="I12" s="1">
        <v>0</v>
      </c>
      <c r="S12" s="1" t="str">
        <f t="shared" si="1"/>
        <v>30-90</v>
      </c>
      <c r="T12" s="1" t="str">
        <f t="shared" si="2"/>
        <v>30-90</v>
      </c>
      <c r="U12" s="1" t="str">
        <f t="shared" si="2"/>
        <v>180-540</v>
      </c>
      <c r="V12" s="1">
        <f t="shared" ref="V12:V16" si="4">_xlfn.LET(_xlpm.a,($E12+U$3*$G12)*(1+U$2),_xlpm.b,($F12+U$3*$H12)*(1+U$2),_xlpm.a/2+_xlpm.b/2)</f>
        <v>360</v>
      </c>
    </row>
    <row r="13" spans="1:24">
      <c r="A13" s="1" t="s">
        <v>609</v>
      </c>
      <c r="B13" s="1" t="s">
        <v>609</v>
      </c>
      <c r="C13" s="1" t="s">
        <v>8</v>
      </c>
      <c r="D13" s="1" t="s">
        <v>132</v>
      </c>
      <c r="E13" s="1">
        <v>50</v>
      </c>
      <c r="F13" s="1">
        <v>70</v>
      </c>
      <c r="G13" s="1">
        <v>0</v>
      </c>
      <c r="H13" s="1">
        <v>0</v>
      </c>
      <c r="I13" s="1">
        <v>0</v>
      </c>
      <c r="S13" s="1" t="str">
        <f t="shared" si="1"/>
        <v>50-70</v>
      </c>
      <c r="T13" s="1" t="str">
        <f t="shared" si="2"/>
        <v>50-70</v>
      </c>
      <c r="U13" s="1" t="str">
        <f t="shared" si="2"/>
        <v>300-420</v>
      </c>
      <c r="V13" s="1">
        <f t="shared" si="4"/>
        <v>360</v>
      </c>
    </row>
    <row r="14" spans="1:24">
      <c r="A14" s="1" t="s">
        <v>610</v>
      </c>
      <c r="B14" s="1" t="s">
        <v>610</v>
      </c>
      <c r="C14" s="1" t="s">
        <v>8</v>
      </c>
      <c r="D14" s="1" t="s">
        <v>133</v>
      </c>
      <c r="E14" s="1">
        <v>10</v>
      </c>
      <c r="F14" s="1">
        <v>110</v>
      </c>
      <c r="G14" s="1">
        <v>0</v>
      </c>
      <c r="H14" s="1">
        <v>0</v>
      </c>
      <c r="I14" s="1">
        <v>0</v>
      </c>
      <c r="S14" s="1" t="str">
        <f t="shared" si="1"/>
        <v>10-110</v>
      </c>
      <c r="T14" s="1" t="str">
        <f t="shared" si="2"/>
        <v>10-110</v>
      </c>
      <c r="U14" s="1" t="str">
        <f t="shared" si="2"/>
        <v>60-660</v>
      </c>
      <c r="V14" s="1">
        <f t="shared" si="4"/>
        <v>360</v>
      </c>
    </row>
    <row r="15" spans="1:24">
      <c r="A15" s="1" t="s">
        <v>611</v>
      </c>
      <c r="B15" s="1" t="s">
        <v>611</v>
      </c>
      <c r="C15" s="1" t="s">
        <v>8</v>
      </c>
      <c r="D15" s="1" t="s">
        <v>134</v>
      </c>
      <c r="E15" s="1">
        <v>60</v>
      </c>
      <c r="F15" s="1">
        <v>60</v>
      </c>
      <c r="G15" s="1">
        <v>0</v>
      </c>
      <c r="H15" s="1">
        <v>0</v>
      </c>
      <c r="I15" s="1">
        <v>0</v>
      </c>
      <c r="S15" s="1" t="str">
        <f t="shared" si="1"/>
        <v>60-60</v>
      </c>
      <c r="T15" s="1" t="str">
        <f t="shared" si="2"/>
        <v>60-60</v>
      </c>
      <c r="U15" s="1" t="str">
        <f t="shared" si="2"/>
        <v>360-360</v>
      </c>
      <c r="V15" s="1">
        <f t="shared" si="4"/>
        <v>360</v>
      </c>
    </row>
    <row r="16" spans="1:24">
      <c r="A16" s="1" t="s">
        <v>612</v>
      </c>
      <c r="B16" s="1" t="s">
        <v>612</v>
      </c>
      <c r="C16" s="1" t="s">
        <v>8</v>
      </c>
      <c r="D16" s="1" t="s">
        <v>135</v>
      </c>
      <c r="E16" s="1">
        <v>0</v>
      </c>
      <c r="F16" s="1">
        <v>120</v>
      </c>
      <c r="G16" s="1">
        <v>0</v>
      </c>
      <c r="H16" s="1">
        <v>0</v>
      </c>
      <c r="I16" s="1">
        <v>0</v>
      </c>
      <c r="S16" s="1" t="str">
        <f t="shared" si="1"/>
        <v>0-120</v>
      </c>
      <c r="T16" s="1" t="str">
        <f t="shared" si="2"/>
        <v>0-120</v>
      </c>
      <c r="U16" s="1" t="str">
        <f t="shared" si="2"/>
        <v>0-720</v>
      </c>
      <c r="V16" s="1">
        <f t="shared" si="4"/>
        <v>360</v>
      </c>
    </row>
    <row r="17" spans="1:22">
      <c r="A17" s="1" t="s">
        <v>574</v>
      </c>
      <c r="B17" s="1" t="s">
        <v>584</v>
      </c>
      <c r="C17" s="1" t="s">
        <v>8</v>
      </c>
      <c r="D17" s="1" t="s">
        <v>594</v>
      </c>
      <c r="E17" s="1">
        <v>3</v>
      </c>
      <c r="F17" s="1">
        <v>7</v>
      </c>
      <c r="G17" s="1">
        <v>7</v>
      </c>
      <c r="H17" s="1">
        <v>21</v>
      </c>
      <c r="M17" s="1" t="s">
        <v>859</v>
      </c>
      <c r="R17" s="1">
        <v>100</v>
      </c>
      <c r="S17" s="1" t="str">
        <f t="shared" si="1"/>
        <v>3-7</v>
      </c>
      <c r="T17" s="1" t="str">
        <f t="shared" si="2"/>
        <v>31-91</v>
      </c>
      <c r="U17" s="1" t="str">
        <f t="shared" si="2"/>
        <v>186-546</v>
      </c>
      <c r="V17" s="1">
        <f>_xlfn.LET(_xlpm.a,($E17+U$3*$G17)*(1+U$2),_xlpm.b,($F17+U$3*$H17)*(1+U$2),_xlpm.a/2+_xlpm.b/2)</f>
        <v>366</v>
      </c>
    </row>
    <row r="18" spans="1:22">
      <c r="A18" s="1" t="s">
        <v>575</v>
      </c>
      <c r="B18" s="1" t="s">
        <v>585</v>
      </c>
      <c r="C18" s="1" t="s">
        <v>8</v>
      </c>
      <c r="D18" s="1" t="s">
        <v>595</v>
      </c>
      <c r="E18" s="1">
        <v>3</v>
      </c>
      <c r="F18" s="1">
        <v>7</v>
      </c>
      <c r="G18" s="1">
        <v>7</v>
      </c>
      <c r="H18" s="1">
        <v>21</v>
      </c>
      <c r="M18" s="1" t="s">
        <v>859</v>
      </c>
      <c r="R18" s="1">
        <v>100</v>
      </c>
      <c r="S18" s="1" t="str">
        <f t="shared" si="1"/>
        <v>3-7</v>
      </c>
      <c r="T18" s="1" t="str">
        <f t="shared" si="2"/>
        <v>31-91</v>
      </c>
      <c r="U18" s="1" t="str">
        <f t="shared" si="2"/>
        <v>186-546</v>
      </c>
      <c r="V18" s="1">
        <f>_xlfn.LET(_xlpm.a,($E18+U$3*$G18)*(1+U$2),_xlpm.b,($F18+U$3*$H18)*(1+U$2),_xlpm.a/2+_xlpm.b/2)</f>
        <v>366</v>
      </c>
    </row>
    <row r="19" spans="1:22">
      <c r="A19" s="1" t="s">
        <v>576</v>
      </c>
      <c r="B19" s="1" t="s">
        <v>586</v>
      </c>
      <c r="C19" s="1" t="s">
        <v>8</v>
      </c>
      <c r="D19" s="1" t="s">
        <v>596</v>
      </c>
      <c r="E19" s="1">
        <v>3</v>
      </c>
      <c r="F19" s="1">
        <v>7</v>
      </c>
      <c r="G19" s="1">
        <v>7</v>
      </c>
      <c r="H19" s="1">
        <v>21</v>
      </c>
      <c r="M19" s="1" t="s">
        <v>859</v>
      </c>
      <c r="R19" s="1">
        <v>100</v>
      </c>
      <c r="S19" s="1" t="str">
        <f t="shared" si="1"/>
        <v>3-7</v>
      </c>
      <c r="T19" s="1" t="str">
        <f t="shared" si="2"/>
        <v>31-91</v>
      </c>
      <c r="U19" s="1" t="str">
        <f t="shared" si="2"/>
        <v>186-546</v>
      </c>
      <c r="V19" s="1">
        <f>_xlfn.LET(_xlpm.a,($E19+U$3*$G19)*(1+U$2),_xlpm.b,($F19+U$3*$H19)*(1+U$2),_xlpm.a/2+_xlpm.b/2)</f>
        <v>366</v>
      </c>
    </row>
    <row r="20" spans="1:22">
      <c r="A20" s="1" t="s">
        <v>577</v>
      </c>
      <c r="B20" s="1" t="s">
        <v>591</v>
      </c>
      <c r="C20" s="1" t="s">
        <v>8</v>
      </c>
      <c r="D20" s="1" t="s">
        <v>597</v>
      </c>
      <c r="E20" s="1">
        <v>3</v>
      </c>
      <c r="F20" s="1">
        <v>7</v>
      </c>
      <c r="G20" s="1">
        <v>7</v>
      </c>
      <c r="H20" s="1">
        <v>21</v>
      </c>
      <c r="M20" s="1" t="s">
        <v>859</v>
      </c>
      <c r="R20" s="1">
        <v>100</v>
      </c>
      <c r="S20" s="1" t="str">
        <f t="shared" si="1"/>
        <v>3-7</v>
      </c>
      <c r="T20" s="1" t="str">
        <f t="shared" si="2"/>
        <v>31-91</v>
      </c>
      <c r="U20" s="1" t="str">
        <f t="shared" si="2"/>
        <v>186-546</v>
      </c>
      <c r="V20" s="1">
        <f t="shared" ref="V20:V21" si="5">_xlfn.LET(_xlpm.a,($E20+U$3*$G20)*(1+U$2),_xlpm.b,($F20+U$3*$H20)*(1+U$2),_xlpm.a/2+_xlpm.b/2)</f>
        <v>366</v>
      </c>
    </row>
    <row r="21" spans="1:22">
      <c r="A21" s="1" t="s">
        <v>578</v>
      </c>
      <c r="B21" s="1" t="s">
        <v>587</v>
      </c>
      <c r="C21" s="1" t="s">
        <v>8</v>
      </c>
      <c r="D21" s="1" t="s">
        <v>598</v>
      </c>
      <c r="E21" s="1">
        <v>3</v>
      </c>
      <c r="F21" s="1">
        <v>7</v>
      </c>
      <c r="G21" s="1">
        <v>7</v>
      </c>
      <c r="H21" s="1">
        <v>21</v>
      </c>
      <c r="M21" s="1" t="s">
        <v>859</v>
      </c>
      <c r="R21" s="1">
        <v>100</v>
      </c>
      <c r="S21" s="1" t="str">
        <f t="shared" si="1"/>
        <v>3-7</v>
      </c>
      <c r="T21" s="1" t="str">
        <f t="shared" si="2"/>
        <v>31-91</v>
      </c>
      <c r="U21" s="1" t="str">
        <f t="shared" si="2"/>
        <v>186-546</v>
      </c>
      <c r="V21" s="1">
        <f t="shared" si="5"/>
        <v>366</v>
      </c>
    </row>
    <row r="22" spans="1:22">
      <c r="A22" s="1" t="s">
        <v>579</v>
      </c>
      <c r="B22" s="1" t="s">
        <v>588</v>
      </c>
      <c r="C22" s="1" t="s">
        <v>8</v>
      </c>
      <c r="D22" s="1" t="s">
        <v>599</v>
      </c>
      <c r="E22" s="1">
        <v>3</v>
      </c>
      <c r="F22" s="1">
        <v>7</v>
      </c>
      <c r="G22" s="1">
        <v>7</v>
      </c>
      <c r="H22" s="1">
        <v>21</v>
      </c>
      <c r="M22" s="1" t="s">
        <v>859</v>
      </c>
      <c r="R22" s="1">
        <v>100</v>
      </c>
      <c r="S22" s="1" t="str">
        <f t="shared" si="1"/>
        <v>3-7</v>
      </c>
      <c r="T22" s="1" t="str">
        <f t="shared" si="2"/>
        <v>31-91</v>
      </c>
      <c r="U22" s="1" t="str">
        <f t="shared" si="2"/>
        <v>186-546</v>
      </c>
      <c r="V22" s="1">
        <f>_xlfn.LET(_xlpm.a,($E22+U$3*$G22)*(1+U$2),_xlpm.b,($F22+U$3*$H22)*(1+U$2),_xlpm.a/2+_xlpm.b/2)</f>
        <v>366</v>
      </c>
    </row>
    <row r="23" spans="1:22">
      <c r="A23" s="1" t="s">
        <v>580</v>
      </c>
      <c r="B23" s="1" t="s">
        <v>589</v>
      </c>
      <c r="C23" s="1" t="s">
        <v>8</v>
      </c>
      <c r="D23" s="1" t="s">
        <v>600</v>
      </c>
      <c r="E23" s="1">
        <v>3</v>
      </c>
      <c r="F23" s="1">
        <v>7</v>
      </c>
      <c r="G23" s="1">
        <v>7</v>
      </c>
      <c r="H23" s="1">
        <v>21</v>
      </c>
      <c r="M23" s="1" t="s">
        <v>859</v>
      </c>
      <c r="R23" s="1">
        <v>100</v>
      </c>
      <c r="S23" s="1" t="str">
        <f t="shared" si="1"/>
        <v>3-7</v>
      </c>
      <c r="T23" s="1" t="str">
        <f t="shared" si="2"/>
        <v>31-91</v>
      </c>
      <c r="U23" s="1" t="str">
        <f t="shared" si="2"/>
        <v>186-546</v>
      </c>
      <c r="V23" s="1">
        <f>_xlfn.LET(_xlpm.a,($E23+U$3*$G23)*(1+U$2),_xlpm.b,($F23+U$3*$H23)*(1+U$2),_xlpm.a/2+_xlpm.b/2)</f>
        <v>366</v>
      </c>
    </row>
    <row r="24" spans="1:22">
      <c r="A24" s="1" t="s">
        <v>581</v>
      </c>
      <c r="B24" s="1" t="s">
        <v>590</v>
      </c>
      <c r="C24" s="1" t="s">
        <v>8</v>
      </c>
      <c r="D24" s="1" t="s">
        <v>601</v>
      </c>
      <c r="E24" s="1">
        <v>3</v>
      </c>
      <c r="F24" s="1">
        <v>7</v>
      </c>
      <c r="G24" s="1">
        <v>7</v>
      </c>
      <c r="H24" s="1">
        <v>21</v>
      </c>
      <c r="M24" s="1" t="s">
        <v>859</v>
      </c>
      <c r="R24" s="1">
        <v>100</v>
      </c>
      <c r="S24" s="1" t="str">
        <f t="shared" si="1"/>
        <v>3-7</v>
      </c>
      <c r="T24" s="1" t="str">
        <f t="shared" si="2"/>
        <v>31-91</v>
      </c>
      <c r="U24" s="1" t="str">
        <f t="shared" si="2"/>
        <v>186-546</v>
      </c>
      <c r="V24" s="1">
        <f>_xlfn.LET(_xlpm.a,($E24+U$3*$G24)*(1+U$2),_xlpm.b,($F24+U$3*$H24)*(1+U$2),_xlpm.a/2+_xlpm.b/2)</f>
        <v>366</v>
      </c>
    </row>
    <row r="25" spans="1:22">
      <c r="A25" s="1" t="s">
        <v>582</v>
      </c>
      <c r="B25" s="1" t="s">
        <v>592</v>
      </c>
      <c r="C25" s="1" t="s">
        <v>8</v>
      </c>
      <c r="D25" s="1" t="s">
        <v>602</v>
      </c>
      <c r="E25" s="1">
        <v>3</v>
      </c>
      <c r="F25" s="1">
        <v>7</v>
      </c>
      <c r="G25" s="1">
        <v>7</v>
      </c>
      <c r="H25" s="1">
        <v>21</v>
      </c>
      <c r="M25" s="1" t="s">
        <v>859</v>
      </c>
      <c r="R25" s="1">
        <v>100</v>
      </c>
      <c r="S25" s="1" t="str">
        <f t="shared" si="1"/>
        <v>3-7</v>
      </c>
      <c r="T25" s="1" t="str">
        <f t="shared" si="2"/>
        <v>31-91</v>
      </c>
      <c r="U25" s="1" t="str">
        <f t="shared" si="2"/>
        <v>186-546</v>
      </c>
      <c r="V25" s="1">
        <f t="shared" ref="V25:V26" si="6">_xlfn.LET(_xlpm.a,($E25+U$3*$G25)*(1+U$2),_xlpm.b,($F25+U$3*$H25)*(1+U$2),_xlpm.a/2+_xlpm.b/2)</f>
        <v>366</v>
      </c>
    </row>
    <row r="26" spans="1:22">
      <c r="A26" s="1" t="s">
        <v>583</v>
      </c>
      <c r="B26" s="1" t="s">
        <v>593</v>
      </c>
      <c r="C26" s="1" t="s">
        <v>8</v>
      </c>
      <c r="D26" s="1" t="s">
        <v>603</v>
      </c>
      <c r="E26" s="1">
        <v>3</v>
      </c>
      <c r="F26" s="1">
        <v>7</v>
      </c>
      <c r="G26" s="1">
        <v>7</v>
      </c>
      <c r="H26" s="1">
        <v>21</v>
      </c>
      <c r="M26" s="1" t="s">
        <v>859</v>
      </c>
      <c r="R26" s="1">
        <v>100</v>
      </c>
      <c r="S26" s="1" t="str">
        <f t="shared" si="1"/>
        <v>3-7</v>
      </c>
      <c r="T26" s="1" t="str">
        <f t="shared" si="2"/>
        <v>31-91</v>
      </c>
      <c r="U26" s="1" t="str">
        <f t="shared" si="2"/>
        <v>186-546</v>
      </c>
      <c r="V26" s="1">
        <f t="shared" si="6"/>
        <v>366</v>
      </c>
    </row>
    <row r="27" spans="1:22">
      <c r="A27" s="1" t="s">
        <v>15</v>
      </c>
      <c r="B27" s="1" t="s">
        <v>405</v>
      </c>
      <c r="C27" s="1" t="s">
        <v>8</v>
      </c>
      <c r="D27" s="1" t="s">
        <v>142</v>
      </c>
      <c r="E27" s="1">
        <v>10</v>
      </c>
      <c r="F27" s="1">
        <v>50</v>
      </c>
      <c r="G27" s="1">
        <v>15</v>
      </c>
      <c r="H27" s="1">
        <v>75</v>
      </c>
      <c r="M27" s="1" t="s">
        <v>860</v>
      </c>
      <c r="R27" s="1">
        <v>100</v>
      </c>
      <c r="S27" s="1" t="str">
        <f t="shared" si="1"/>
        <v>10-50</v>
      </c>
      <c r="T27" s="1" t="str">
        <f t="shared" si="2"/>
        <v>70-350</v>
      </c>
      <c r="U27" s="1" t="str">
        <f t="shared" si="2"/>
        <v>420-2100</v>
      </c>
      <c r="V27" s="1">
        <f t="shared" si="3"/>
        <v>1260</v>
      </c>
    </row>
    <row r="28" spans="1:22">
      <c r="A28" s="1" t="s">
        <v>16</v>
      </c>
      <c r="B28" s="1" t="s">
        <v>399</v>
      </c>
      <c r="C28" s="1" t="s">
        <v>8</v>
      </c>
      <c r="D28" s="1" t="s">
        <v>143</v>
      </c>
      <c r="E28" s="1">
        <v>10</v>
      </c>
      <c r="F28" s="1">
        <v>50</v>
      </c>
      <c r="G28" s="1">
        <v>15</v>
      </c>
      <c r="H28" s="1">
        <v>75</v>
      </c>
      <c r="M28" s="1" t="s">
        <v>860</v>
      </c>
      <c r="R28" s="1">
        <v>100</v>
      </c>
      <c r="S28" s="1" t="str">
        <f t="shared" ref="S28:U62" si="7">_xlfn.LET(_xlpm.a,($E28+S$3*$G28)*(1+S$2),_xlpm.b,($F28+S$3*$H28)*(1+S$2),_xlpm.a&amp;"-"&amp;_xlpm.b)</f>
        <v>10-50</v>
      </c>
      <c r="T28" s="1" t="str">
        <f t="shared" si="2"/>
        <v>70-350</v>
      </c>
      <c r="U28" s="1" t="str">
        <f t="shared" si="2"/>
        <v>420-2100</v>
      </c>
      <c r="V28" s="1">
        <f t="shared" si="3"/>
        <v>1260</v>
      </c>
    </row>
    <row r="29" spans="1:22">
      <c r="A29" s="1" t="s">
        <v>17</v>
      </c>
      <c r="B29" s="1" t="s">
        <v>406</v>
      </c>
      <c r="C29" s="1" t="s">
        <v>8</v>
      </c>
      <c r="D29" s="1" t="s">
        <v>144</v>
      </c>
      <c r="E29" s="1">
        <v>10</v>
      </c>
      <c r="F29" s="1">
        <v>50</v>
      </c>
      <c r="G29" s="1">
        <v>15</v>
      </c>
      <c r="H29" s="1">
        <v>75</v>
      </c>
      <c r="M29" s="1" t="s">
        <v>860</v>
      </c>
      <c r="R29" s="1">
        <v>100</v>
      </c>
      <c r="S29" s="1" t="str">
        <f t="shared" si="7"/>
        <v>10-50</v>
      </c>
      <c r="T29" s="1" t="str">
        <f t="shared" si="2"/>
        <v>70-350</v>
      </c>
      <c r="U29" s="1" t="str">
        <f t="shared" si="2"/>
        <v>420-2100</v>
      </c>
      <c r="V29" s="1">
        <f t="shared" si="3"/>
        <v>1260</v>
      </c>
    </row>
    <row r="30" spans="1:22">
      <c r="A30" s="1" t="s">
        <v>18</v>
      </c>
      <c r="B30" s="1" t="s">
        <v>407</v>
      </c>
      <c r="C30" s="1" t="s">
        <v>8</v>
      </c>
      <c r="D30" s="1" t="s">
        <v>145</v>
      </c>
      <c r="E30" s="1">
        <v>10</v>
      </c>
      <c r="F30" s="1">
        <v>50</v>
      </c>
      <c r="G30" s="1">
        <v>15</v>
      </c>
      <c r="H30" s="1">
        <v>75</v>
      </c>
      <c r="M30" s="1" t="s">
        <v>860</v>
      </c>
      <c r="R30" s="1">
        <v>100</v>
      </c>
      <c r="S30" s="1" t="str">
        <f t="shared" si="7"/>
        <v>10-50</v>
      </c>
      <c r="T30" s="1" t="str">
        <f t="shared" si="2"/>
        <v>70-350</v>
      </c>
      <c r="U30" s="1" t="str">
        <f t="shared" si="2"/>
        <v>420-2100</v>
      </c>
      <c r="V30" s="1">
        <f t="shared" si="3"/>
        <v>1260</v>
      </c>
    </row>
    <row r="31" spans="1:22">
      <c r="A31" s="1" t="s">
        <v>19</v>
      </c>
      <c r="B31" s="1" t="s">
        <v>408</v>
      </c>
      <c r="C31" s="1" t="s">
        <v>8</v>
      </c>
      <c r="D31" s="1" t="s">
        <v>146</v>
      </c>
      <c r="E31" s="1">
        <v>10</v>
      </c>
      <c r="F31" s="1">
        <v>50</v>
      </c>
      <c r="G31" s="1">
        <v>15</v>
      </c>
      <c r="H31" s="1">
        <v>75</v>
      </c>
      <c r="M31" s="1" t="s">
        <v>860</v>
      </c>
      <c r="R31" s="1">
        <v>100</v>
      </c>
      <c r="S31" s="1" t="str">
        <f t="shared" si="7"/>
        <v>10-50</v>
      </c>
      <c r="T31" s="1" t="str">
        <f t="shared" si="2"/>
        <v>70-350</v>
      </c>
      <c r="U31" s="1" t="str">
        <f t="shared" si="2"/>
        <v>420-2100</v>
      </c>
      <c r="V31" s="1">
        <f t="shared" si="3"/>
        <v>1260</v>
      </c>
    </row>
    <row r="32" spans="1:22">
      <c r="A32" s="1" t="s">
        <v>572</v>
      </c>
      <c r="B32" s="1" t="s">
        <v>572</v>
      </c>
      <c r="C32" s="1" t="s">
        <v>8</v>
      </c>
      <c r="D32" s="1" t="s">
        <v>142</v>
      </c>
      <c r="E32" s="1">
        <v>100</v>
      </c>
      <c r="F32" s="1">
        <v>100</v>
      </c>
      <c r="G32" s="1">
        <v>0</v>
      </c>
      <c r="H32" s="1">
        <v>0</v>
      </c>
      <c r="I32" s="1">
        <v>0</v>
      </c>
      <c r="S32" s="1" t="str">
        <f>_xlfn.LET(_xlpm.a,($E32+S$3*$G32)*(1+S$2),_xlpm.b,($F32+S$3*$H32)*(1+S$2),_xlpm.a&amp;"-"&amp;_xlpm.b)</f>
        <v>100-100</v>
      </c>
      <c r="T32" s="1" t="str">
        <f>_xlfn.LET(_xlpm.a,($E32+T$3*$G32)*(1+T$2),_xlpm.b,($F32+T$3*$H32)*(1+T$2),_xlpm.a&amp;"-"&amp;_xlpm.b)</f>
        <v>100-100</v>
      </c>
      <c r="U32" s="1" t="str">
        <f>_xlfn.LET(_xlpm.a,($E32+U$3*$G32)*(1+U$2),_xlpm.b,($F32+U$3*$H32)*(1+U$2),_xlpm.a&amp;"-"&amp;_xlpm.b)</f>
        <v>600-600</v>
      </c>
      <c r="V32" s="1">
        <f>_xlfn.LET(_xlpm.a,($E32+U$3*$G32)*(1+U$2),_xlpm.b,($F32+U$3*$H32)*(1+U$2),_xlpm.a/2+_xlpm.b/2)</f>
        <v>600</v>
      </c>
    </row>
    <row r="33" spans="1:22">
      <c r="A33" s="1" t="s">
        <v>620</v>
      </c>
      <c r="B33" s="1" t="s">
        <v>620</v>
      </c>
      <c r="C33" s="1" t="s">
        <v>8</v>
      </c>
      <c r="D33" s="1" t="s">
        <v>143</v>
      </c>
      <c r="E33" s="1">
        <v>100</v>
      </c>
      <c r="F33" s="1">
        <v>100</v>
      </c>
      <c r="G33" s="1">
        <v>0</v>
      </c>
      <c r="H33" s="1">
        <v>0</v>
      </c>
      <c r="I33" s="1">
        <v>0</v>
      </c>
    </row>
    <row r="34" spans="1:22">
      <c r="A34" s="1" t="s">
        <v>621</v>
      </c>
      <c r="B34" s="1" t="s">
        <v>621</v>
      </c>
      <c r="C34" s="1" t="s">
        <v>8</v>
      </c>
      <c r="D34" s="1" t="s">
        <v>144</v>
      </c>
      <c r="E34" s="1">
        <v>100</v>
      </c>
      <c r="F34" s="1">
        <v>100</v>
      </c>
      <c r="G34" s="1">
        <v>0</v>
      </c>
      <c r="H34" s="1">
        <v>0</v>
      </c>
      <c r="I34" s="1">
        <v>0</v>
      </c>
    </row>
    <row r="35" spans="1:22">
      <c r="A35" s="1" t="s">
        <v>622</v>
      </c>
      <c r="B35" s="1" t="s">
        <v>622</v>
      </c>
      <c r="C35" s="1" t="s">
        <v>8</v>
      </c>
      <c r="D35" s="1" t="s">
        <v>145</v>
      </c>
      <c r="E35" s="1">
        <v>100</v>
      </c>
      <c r="F35" s="1">
        <v>100</v>
      </c>
      <c r="G35" s="1">
        <v>0</v>
      </c>
      <c r="H35" s="1">
        <v>0</v>
      </c>
      <c r="I35" s="1">
        <v>0</v>
      </c>
    </row>
    <row r="36" spans="1:22">
      <c r="A36" s="1" t="s">
        <v>623</v>
      </c>
      <c r="B36" s="1" t="s">
        <v>623</v>
      </c>
      <c r="C36" s="1" t="s">
        <v>8</v>
      </c>
      <c r="D36" s="1" t="s">
        <v>146</v>
      </c>
      <c r="E36" s="1">
        <v>100</v>
      </c>
      <c r="F36" s="1">
        <v>100</v>
      </c>
      <c r="G36" s="1">
        <v>0</v>
      </c>
      <c r="H36" s="1">
        <v>0</v>
      </c>
      <c r="I36" s="1">
        <v>0</v>
      </c>
    </row>
    <row r="37" spans="1:22">
      <c r="A37" s="1" t="s">
        <v>20</v>
      </c>
      <c r="B37" s="1" t="s">
        <v>409</v>
      </c>
      <c r="C37" s="1" t="s">
        <v>8</v>
      </c>
      <c r="D37" s="1" t="s">
        <v>147</v>
      </c>
      <c r="E37" s="1">
        <v>10</v>
      </c>
      <c r="F37" s="1">
        <v>50</v>
      </c>
      <c r="G37" s="1">
        <v>15</v>
      </c>
      <c r="H37" s="1">
        <v>75</v>
      </c>
      <c r="M37" s="1" t="s">
        <v>860</v>
      </c>
      <c r="R37" s="1">
        <v>120</v>
      </c>
      <c r="S37" s="1" t="str">
        <f t="shared" si="7"/>
        <v>10-50</v>
      </c>
      <c r="T37" s="1" t="str">
        <f t="shared" si="2"/>
        <v>70-350</v>
      </c>
      <c r="U37" s="1" t="str">
        <f t="shared" si="2"/>
        <v>420-2100</v>
      </c>
      <c r="V37" s="1">
        <f t="shared" si="3"/>
        <v>1260</v>
      </c>
    </row>
    <row r="38" spans="1:22">
      <c r="A38" s="1" t="s">
        <v>21</v>
      </c>
      <c r="B38" s="1" t="s">
        <v>410</v>
      </c>
      <c r="C38" s="1" t="s">
        <v>8</v>
      </c>
      <c r="D38" s="1" t="s">
        <v>148</v>
      </c>
      <c r="E38" s="1">
        <v>10</v>
      </c>
      <c r="F38" s="1">
        <v>50</v>
      </c>
      <c r="G38" s="1">
        <v>15</v>
      </c>
      <c r="H38" s="1">
        <v>75</v>
      </c>
      <c r="M38" s="1" t="s">
        <v>860</v>
      </c>
      <c r="R38" s="1">
        <v>120</v>
      </c>
      <c r="S38" s="1" t="str">
        <f t="shared" si="7"/>
        <v>10-50</v>
      </c>
      <c r="T38" s="1" t="str">
        <f t="shared" si="2"/>
        <v>70-350</v>
      </c>
      <c r="U38" s="1" t="str">
        <f t="shared" si="2"/>
        <v>420-2100</v>
      </c>
      <c r="V38" s="1">
        <f t="shared" si="3"/>
        <v>1260</v>
      </c>
    </row>
    <row r="39" spans="1:22">
      <c r="A39" s="1" t="s">
        <v>22</v>
      </c>
      <c r="B39" s="1" t="s">
        <v>412</v>
      </c>
      <c r="C39" s="1" t="s">
        <v>8</v>
      </c>
      <c r="D39" s="1" t="s">
        <v>149</v>
      </c>
      <c r="E39" s="1">
        <v>10</v>
      </c>
      <c r="F39" s="1">
        <v>50</v>
      </c>
      <c r="G39" s="1">
        <v>15</v>
      </c>
      <c r="H39" s="1">
        <v>75</v>
      </c>
      <c r="M39" s="1" t="s">
        <v>860</v>
      </c>
      <c r="R39" s="1">
        <v>120</v>
      </c>
      <c r="S39" s="1" t="str">
        <f t="shared" si="7"/>
        <v>10-50</v>
      </c>
      <c r="T39" s="1" t="str">
        <f t="shared" si="2"/>
        <v>70-350</v>
      </c>
      <c r="U39" s="1" t="str">
        <f t="shared" si="2"/>
        <v>420-2100</v>
      </c>
      <c r="V39" s="1">
        <f t="shared" si="3"/>
        <v>1260</v>
      </c>
    </row>
    <row r="40" spans="1:22">
      <c r="A40" s="1" t="s">
        <v>23</v>
      </c>
      <c r="B40" s="1" t="s">
        <v>411</v>
      </c>
      <c r="C40" s="1" t="s">
        <v>8</v>
      </c>
      <c r="D40" s="1" t="s">
        <v>150</v>
      </c>
      <c r="E40" s="1">
        <v>10</v>
      </c>
      <c r="F40" s="1">
        <v>50</v>
      </c>
      <c r="G40" s="1">
        <v>15</v>
      </c>
      <c r="H40" s="1">
        <v>75</v>
      </c>
      <c r="M40" s="1" t="s">
        <v>860</v>
      </c>
      <c r="R40" s="1">
        <v>120</v>
      </c>
      <c r="S40" s="1" t="str">
        <f t="shared" si="7"/>
        <v>10-50</v>
      </c>
      <c r="T40" s="1" t="str">
        <f t="shared" si="7"/>
        <v>70-350</v>
      </c>
      <c r="U40" s="1" t="str">
        <f t="shared" si="7"/>
        <v>420-2100</v>
      </c>
      <c r="V40" s="1">
        <f t="shared" si="3"/>
        <v>1260</v>
      </c>
    </row>
    <row r="41" spans="1:22">
      <c r="A41" s="1" t="s">
        <v>24</v>
      </c>
      <c r="B41" s="1" t="s">
        <v>413</v>
      </c>
      <c r="C41" s="1" t="s">
        <v>8</v>
      </c>
      <c r="D41" s="1" t="s">
        <v>151</v>
      </c>
      <c r="E41" s="1">
        <v>10</v>
      </c>
      <c r="F41" s="1">
        <v>50</v>
      </c>
      <c r="G41" s="1">
        <v>15</v>
      </c>
      <c r="H41" s="1">
        <v>75</v>
      </c>
      <c r="M41" s="1" t="s">
        <v>860</v>
      </c>
      <c r="R41" s="1">
        <v>120</v>
      </c>
      <c r="S41" s="1" t="str">
        <f t="shared" si="7"/>
        <v>10-50</v>
      </c>
      <c r="T41" s="1" t="str">
        <f t="shared" si="7"/>
        <v>70-350</v>
      </c>
      <c r="U41" s="1" t="str">
        <f t="shared" si="7"/>
        <v>420-2100</v>
      </c>
      <c r="V41" s="1">
        <f t="shared" si="3"/>
        <v>1260</v>
      </c>
    </row>
    <row r="42" spans="1:22">
      <c r="A42" s="1" t="s">
        <v>824</v>
      </c>
      <c r="B42" s="1" t="s">
        <v>827</v>
      </c>
      <c r="C42" s="1" t="s">
        <v>8</v>
      </c>
      <c r="D42" s="1" t="s">
        <v>830</v>
      </c>
      <c r="E42" s="1">
        <v>10</v>
      </c>
      <c r="F42" s="1">
        <v>50</v>
      </c>
      <c r="G42" s="1">
        <v>15</v>
      </c>
      <c r="H42" s="1">
        <v>75</v>
      </c>
      <c r="M42" s="1" t="s">
        <v>860</v>
      </c>
      <c r="R42" s="1">
        <v>120</v>
      </c>
    </row>
    <row r="43" spans="1:22">
      <c r="A43" s="1" t="s">
        <v>825</v>
      </c>
      <c r="B43" s="1" t="s">
        <v>828</v>
      </c>
      <c r="C43" s="1" t="s">
        <v>8</v>
      </c>
      <c r="D43" s="1" t="s">
        <v>831</v>
      </c>
      <c r="E43" s="1">
        <v>10</v>
      </c>
      <c r="F43" s="1">
        <v>50</v>
      </c>
      <c r="G43" s="1">
        <v>15</v>
      </c>
      <c r="H43" s="1">
        <v>75</v>
      </c>
      <c r="M43" s="1" t="s">
        <v>860</v>
      </c>
      <c r="R43" s="1">
        <v>120</v>
      </c>
    </row>
    <row r="44" spans="1:22">
      <c r="A44" s="1" t="s">
        <v>826</v>
      </c>
      <c r="B44" s="1" t="s">
        <v>829</v>
      </c>
      <c r="C44" s="1" t="s">
        <v>8</v>
      </c>
      <c r="D44" s="1" t="s">
        <v>832</v>
      </c>
      <c r="E44" s="1">
        <v>10</v>
      </c>
      <c r="F44" s="1">
        <v>50</v>
      </c>
      <c r="G44" s="1">
        <v>15</v>
      </c>
      <c r="H44" s="1">
        <v>75</v>
      </c>
      <c r="M44" s="1" t="s">
        <v>860</v>
      </c>
      <c r="R44" s="1">
        <v>120</v>
      </c>
    </row>
    <row r="45" spans="1:22">
      <c r="A45" s="1" t="s">
        <v>25</v>
      </c>
      <c r="B45" s="1" t="s">
        <v>414</v>
      </c>
      <c r="C45" s="1" t="s">
        <v>8</v>
      </c>
      <c r="D45" s="1" t="s">
        <v>152</v>
      </c>
      <c r="E45" s="1">
        <v>0.7</v>
      </c>
      <c r="F45" s="1">
        <v>2</v>
      </c>
      <c r="G45" s="1">
        <v>1</v>
      </c>
      <c r="H45" s="1">
        <v>3</v>
      </c>
      <c r="J45" s="1">
        <v>0.15</v>
      </c>
      <c r="M45" s="1" t="s">
        <v>850</v>
      </c>
      <c r="R45" s="1">
        <v>100</v>
      </c>
      <c r="S45" s="1" t="str">
        <f t="shared" si="7"/>
        <v>0.7-2</v>
      </c>
      <c r="T45" s="1" t="str">
        <f t="shared" si="7"/>
        <v>4.7-14</v>
      </c>
      <c r="U45" s="1" t="str">
        <f t="shared" si="7"/>
        <v>28.2-84</v>
      </c>
      <c r="V45" s="1">
        <f t="shared" si="3"/>
        <v>56.1</v>
      </c>
    </row>
    <row r="46" spans="1:22">
      <c r="A46" s="1" t="s">
        <v>26</v>
      </c>
      <c r="B46" s="1" t="s">
        <v>415</v>
      </c>
      <c r="C46" s="1" t="s">
        <v>8</v>
      </c>
      <c r="D46" s="1" t="s">
        <v>153</v>
      </c>
      <c r="E46" s="1">
        <v>0.7</v>
      </c>
      <c r="F46" s="1">
        <v>2</v>
      </c>
      <c r="G46" s="1">
        <v>1</v>
      </c>
      <c r="H46" s="1">
        <v>3</v>
      </c>
      <c r="J46" s="1">
        <v>0.15</v>
      </c>
      <c r="M46" s="1" t="s">
        <v>850</v>
      </c>
      <c r="R46" s="1">
        <v>100</v>
      </c>
      <c r="S46" s="1" t="str">
        <f t="shared" si="7"/>
        <v>0.7-2</v>
      </c>
      <c r="T46" s="1" t="str">
        <f t="shared" si="7"/>
        <v>4.7-14</v>
      </c>
      <c r="U46" s="1" t="str">
        <f t="shared" si="7"/>
        <v>28.2-84</v>
      </c>
      <c r="V46" s="1">
        <f t="shared" si="3"/>
        <v>56.1</v>
      </c>
    </row>
    <row r="47" spans="1:22">
      <c r="A47" s="1" t="s">
        <v>27</v>
      </c>
      <c r="B47" s="1" t="s">
        <v>416</v>
      </c>
      <c r="C47" s="1" t="s">
        <v>8</v>
      </c>
      <c r="D47" s="1" t="s">
        <v>154</v>
      </c>
      <c r="E47" s="1">
        <v>0.7</v>
      </c>
      <c r="F47" s="1">
        <v>2</v>
      </c>
      <c r="G47" s="1">
        <v>1</v>
      </c>
      <c r="H47" s="1">
        <v>3</v>
      </c>
      <c r="J47" s="1">
        <v>0.15</v>
      </c>
      <c r="M47" s="1" t="s">
        <v>850</v>
      </c>
      <c r="R47" s="1">
        <v>100</v>
      </c>
      <c r="S47" s="1" t="str">
        <f t="shared" si="7"/>
        <v>0.7-2</v>
      </c>
      <c r="T47" s="1" t="str">
        <f t="shared" si="7"/>
        <v>4.7-14</v>
      </c>
      <c r="U47" s="1" t="str">
        <f t="shared" si="7"/>
        <v>28.2-84</v>
      </c>
      <c r="V47" s="1">
        <f t="shared" si="3"/>
        <v>56.1</v>
      </c>
    </row>
    <row r="48" spans="1:22">
      <c r="A48" s="1" t="s">
        <v>28</v>
      </c>
      <c r="B48" s="1" t="s">
        <v>417</v>
      </c>
      <c r="C48" s="1" t="s">
        <v>8</v>
      </c>
      <c r="D48" s="1" t="s">
        <v>155</v>
      </c>
      <c r="E48" s="1">
        <v>0.7</v>
      </c>
      <c r="F48" s="1">
        <v>2</v>
      </c>
      <c r="G48" s="1">
        <v>1</v>
      </c>
      <c r="H48" s="1">
        <v>3</v>
      </c>
      <c r="J48" s="1">
        <v>0.15</v>
      </c>
      <c r="M48" s="1" t="s">
        <v>850</v>
      </c>
      <c r="R48" s="1">
        <v>100</v>
      </c>
      <c r="S48" s="1" t="str">
        <f t="shared" si="7"/>
        <v>0.7-2</v>
      </c>
      <c r="T48" s="1" t="str">
        <f t="shared" si="7"/>
        <v>4.7-14</v>
      </c>
      <c r="U48" s="1" t="str">
        <f t="shared" si="7"/>
        <v>28.2-84</v>
      </c>
      <c r="V48" s="1">
        <f t="shared" si="3"/>
        <v>56.1</v>
      </c>
    </row>
    <row r="49" spans="1:22">
      <c r="A49" s="1" t="s">
        <v>29</v>
      </c>
      <c r="B49" s="1" t="s">
        <v>418</v>
      </c>
      <c r="C49" s="1" t="s">
        <v>8</v>
      </c>
      <c r="D49" s="1" t="s">
        <v>156</v>
      </c>
      <c r="E49" s="1">
        <v>0.7</v>
      </c>
      <c r="F49" s="1">
        <v>2</v>
      </c>
      <c r="G49" s="1">
        <v>1</v>
      </c>
      <c r="H49" s="1">
        <v>3</v>
      </c>
      <c r="J49" s="1">
        <v>0.15</v>
      </c>
      <c r="M49" s="1" t="s">
        <v>850</v>
      </c>
      <c r="R49" s="1">
        <v>100</v>
      </c>
      <c r="S49" s="1" t="str">
        <f t="shared" si="7"/>
        <v>0.7-2</v>
      </c>
      <c r="T49" s="1" t="str">
        <f t="shared" si="7"/>
        <v>4.7-14</v>
      </c>
      <c r="U49" s="1" t="str">
        <f t="shared" si="7"/>
        <v>28.2-84</v>
      </c>
      <c r="V49" s="1">
        <f t="shared" si="3"/>
        <v>56.1</v>
      </c>
    </row>
    <row r="50" spans="1:22">
      <c r="A50" s="1" t="s">
        <v>615</v>
      </c>
      <c r="B50" s="1" t="s">
        <v>615</v>
      </c>
      <c r="C50" s="1" t="s">
        <v>8</v>
      </c>
      <c r="D50" s="1" t="s">
        <v>152</v>
      </c>
      <c r="E50" s="1">
        <v>7</v>
      </c>
      <c r="F50" s="1">
        <v>20</v>
      </c>
      <c r="G50" s="1">
        <v>0</v>
      </c>
      <c r="H50" s="1">
        <v>0</v>
      </c>
      <c r="I50" s="1">
        <v>0</v>
      </c>
      <c r="S50" s="1" t="str">
        <f t="shared" si="7"/>
        <v>7-20</v>
      </c>
      <c r="T50" s="1" t="str">
        <f t="shared" si="7"/>
        <v>7-20</v>
      </c>
      <c r="U50" s="1" t="str">
        <f t="shared" si="7"/>
        <v>42-120</v>
      </c>
      <c r="V50" s="1">
        <f t="shared" ref="V50:V54" si="8">_xlfn.LET(_xlpm.a,($E50+U$3*$G50)*(1+U$2),_xlpm.b,($F50+U$3*$H50)*(1+U$2),_xlpm.a/2+_xlpm.b/2)</f>
        <v>81</v>
      </c>
    </row>
    <row r="51" spans="1:22">
      <c r="A51" s="1" t="s">
        <v>616</v>
      </c>
      <c r="B51" s="1" t="s">
        <v>616</v>
      </c>
      <c r="C51" s="1" t="s">
        <v>8</v>
      </c>
      <c r="D51" s="1" t="s">
        <v>153</v>
      </c>
      <c r="E51" s="1">
        <v>7</v>
      </c>
      <c r="F51" s="1">
        <v>20</v>
      </c>
      <c r="G51" s="1">
        <v>0</v>
      </c>
      <c r="H51" s="1">
        <v>0</v>
      </c>
      <c r="I51" s="1">
        <v>0</v>
      </c>
      <c r="S51" s="1" t="str">
        <f t="shared" si="7"/>
        <v>7-20</v>
      </c>
      <c r="T51" s="1" t="str">
        <f t="shared" si="7"/>
        <v>7-20</v>
      </c>
      <c r="U51" s="1" t="str">
        <f t="shared" si="7"/>
        <v>42-120</v>
      </c>
      <c r="V51" s="1">
        <f t="shared" si="8"/>
        <v>81</v>
      </c>
    </row>
    <row r="52" spans="1:22">
      <c r="A52" s="1" t="s">
        <v>617</v>
      </c>
      <c r="B52" s="1" t="s">
        <v>617</v>
      </c>
      <c r="C52" s="1" t="s">
        <v>8</v>
      </c>
      <c r="D52" s="1" t="s">
        <v>154</v>
      </c>
      <c r="E52" s="1">
        <v>7</v>
      </c>
      <c r="F52" s="1">
        <v>20</v>
      </c>
      <c r="G52" s="1">
        <v>0</v>
      </c>
      <c r="H52" s="1">
        <v>0</v>
      </c>
      <c r="I52" s="1">
        <v>0</v>
      </c>
      <c r="S52" s="1" t="str">
        <f t="shared" si="7"/>
        <v>7-20</v>
      </c>
      <c r="T52" s="1" t="str">
        <f t="shared" si="7"/>
        <v>7-20</v>
      </c>
      <c r="U52" s="1" t="str">
        <f t="shared" si="7"/>
        <v>42-120</v>
      </c>
      <c r="V52" s="1">
        <f t="shared" si="8"/>
        <v>81</v>
      </c>
    </row>
    <row r="53" spans="1:22">
      <c r="A53" s="1" t="s">
        <v>618</v>
      </c>
      <c r="B53" s="1" t="s">
        <v>618</v>
      </c>
      <c r="C53" s="1" t="s">
        <v>8</v>
      </c>
      <c r="D53" s="1" t="s">
        <v>155</v>
      </c>
      <c r="E53" s="1">
        <v>7</v>
      </c>
      <c r="F53" s="1">
        <v>20</v>
      </c>
      <c r="G53" s="1">
        <v>0</v>
      </c>
      <c r="H53" s="1">
        <v>0</v>
      </c>
      <c r="I53" s="1">
        <v>0</v>
      </c>
      <c r="S53" s="1" t="str">
        <f t="shared" si="7"/>
        <v>7-20</v>
      </c>
      <c r="T53" s="1" t="str">
        <f t="shared" si="7"/>
        <v>7-20</v>
      </c>
      <c r="U53" s="1" t="str">
        <f t="shared" si="7"/>
        <v>42-120</v>
      </c>
      <c r="V53" s="1">
        <f t="shared" si="8"/>
        <v>81</v>
      </c>
    </row>
    <row r="54" spans="1:22">
      <c r="A54" s="1" t="s">
        <v>619</v>
      </c>
      <c r="B54" s="1" t="s">
        <v>619</v>
      </c>
      <c r="C54" s="1" t="s">
        <v>8</v>
      </c>
      <c r="D54" s="1" t="s">
        <v>156</v>
      </c>
      <c r="E54" s="1">
        <v>7</v>
      </c>
      <c r="F54" s="1">
        <v>20</v>
      </c>
      <c r="G54" s="1">
        <v>0</v>
      </c>
      <c r="H54" s="1">
        <v>0</v>
      </c>
      <c r="I54" s="1">
        <v>0</v>
      </c>
      <c r="S54" s="1" t="str">
        <f t="shared" si="7"/>
        <v>7-20</v>
      </c>
      <c r="T54" s="1" t="str">
        <f t="shared" si="7"/>
        <v>7-20</v>
      </c>
      <c r="U54" s="1" t="str">
        <f t="shared" si="7"/>
        <v>42-120</v>
      </c>
      <c r="V54" s="1">
        <f t="shared" si="8"/>
        <v>81</v>
      </c>
    </row>
    <row r="55" spans="1:22">
      <c r="A55" s="1" t="s">
        <v>285</v>
      </c>
      <c r="B55" s="1" t="s">
        <v>419</v>
      </c>
      <c r="C55" s="1" t="s">
        <v>8</v>
      </c>
      <c r="D55" s="1" t="s">
        <v>280</v>
      </c>
      <c r="E55" s="1">
        <f>E7*0.1</f>
        <v>0.30000000000000004</v>
      </c>
      <c r="F55" s="1">
        <f>F7*0.15</f>
        <v>1.05</v>
      </c>
      <c r="G55" s="1">
        <f>G7*0.1</f>
        <v>0.70000000000000007</v>
      </c>
      <c r="H55" s="1">
        <f>H7*0.15</f>
        <v>3.15</v>
      </c>
      <c r="M55" s="1" t="s">
        <v>851</v>
      </c>
      <c r="R55" s="1">
        <v>100</v>
      </c>
      <c r="S55" s="1" t="str">
        <f t="shared" si="7"/>
        <v>0.3-1.05</v>
      </c>
      <c r="T55" s="1" t="str">
        <f t="shared" si="7"/>
        <v>3.1-13.65</v>
      </c>
      <c r="U55" s="1" t="str">
        <f t="shared" si="7"/>
        <v>18.6-81.9</v>
      </c>
      <c r="V55" s="1">
        <f t="shared" ref="V55" si="9">_xlfn.LET(_xlpm.a,($E55+U$3*$G55)*(1+U$2),_xlpm.b,($F55+U$3*$H55)*(1+U$2),_xlpm.a/2+_xlpm.b/2)</f>
        <v>50.25</v>
      </c>
    </row>
    <row r="56" spans="1:22">
      <c r="A56" s="1" t="s">
        <v>286</v>
      </c>
      <c r="B56" s="1" t="s">
        <v>420</v>
      </c>
      <c r="C56" s="1" t="s">
        <v>8</v>
      </c>
      <c r="D56" s="1" t="s">
        <v>281</v>
      </c>
      <c r="E56" s="1">
        <f>E8*0.1</f>
        <v>0.4</v>
      </c>
      <c r="F56" s="1">
        <f>F8*0.15</f>
        <v>0.89999999999999991</v>
      </c>
      <c r="G56" s="1">
        <f>G8*0.1</f>
        <v>1.2000000000000002</v>
      </c>
      <c r="H56" s="1">
        <f>H8*0.15</f>
        <v>2.4</v>
      </c>
      <c r="M56" s="1" t="s">
        <v>851</v>
      </c>
      <c r="R56" s="1">
        <v>100</v>
      </c>
      <c r="S56" s="1" t="str">
        <f t="shared" si="7"/>
        <v>0.4-0.9</v>
      </c>
      <c r="T56" s="1" t="str">
        <f t="shared" si="7"/>
        <v>5.2-10.5</v>
      </c>
      <c r="U56" s="1" t="str">
        <f t="shared" si="7"/>
        <v>31.2-63</v>
      </c>
      <c r="V56" s="1">
        <f t="shared" ref="V56:V59" si="10">_xlfn.LET(_xlpm.a,($E56+U$3*$G56)*(1+U$2),_xlpm.b,($F56+U$3*$H56)*(1+U$2),_xlpm.a/2+_xlpm.b/2)</f>
        <v>47.1</v>
      </c>
    </row>
    <row r="57" spans="1:22">
      <c r="A57" s="1" t="s">
        <v>287</v>
      </c>
      <c r="B57" s="1" t="s">
        <v>421</v>
      </c>
      <c r="C57" s="1" t="s">
        <v>8</v>
      </c>
      <c r="D57" s="1" t="s">
        <v>282</v>
      </c>
      <c r="E57" s="1">
        <f>E9*0.1</f>
        <v>0.1</v>
      </c>
      <c r="F57" s="1">
        <f>F9*0.15</f>
        <v>1.3499999999999999</v>
      </c>
      <c r="G57" s="1">
        <f>G9*0.1</f>
        <v>0.30000000000000004</v>
      </c>
      <c r="H57" s="1">
        <f>H9*0.15</f>
        <v>3.75</v>
      </c>
      <c r="M57" s="1" t="s">
        <v>851</v>
      </c>
      <c r="R57" s="1">
        <v>100</v>
      </c>
      <c r="S57" s="1" t="str">
        <f t="shared" si="7"/>
        <v>0.1-1.35</v>
      </c>
      <c r="T57" s="1" t="str">
        <f t="shared" si="7"/>
        <v>1.3-16.35</v>
      </c>
      <c r="U57" s="1" t="str">
        <f t="shared" si="7"/>
        <v>7.8-98.1</v>
      </c>
      <c r="V57" s="1">
        <f t="shared" si="10"/>
        <v>52.95</v>
      </c>
    </row>
    <row r="58" spans="1:22">
      <c r="A58" s="1" t="s">
        <v>288</v>
      </c>
      <c r="B58" s="1" t="s">
        <v>422</v>
      </c>
      <c r="C58" s="1" t="s">
        <v>8</v>
      </c>
      <c r="D58" s="1" t="s">
        <v>283</v>
      </c>
      <c r="E58" s="1">
        <f>E10*0.125</f>
        <v>0.625</v>
      </c>
      <c r="F58" s="1">
        <f>F10*0.125</f>
        <v>0.625</v>
      </c>
      <c r="G58" s="1">
        <f>G10*0.125</f>
        <v>1.75</v>
      </c>
      <c r="H58" s="1">
        <f>H10*0.125</f>
        <v>1.75</v>
      </c>
      <c r="M58" s="1" t="s">
        <v>851</v>
      </c>
      <c r="R58" s="1">
        <v>100</v>
      </c>
      <c r="S58" s="1" t="str">
        <f t="shared" si="7"/>
        <v>0.625-0.625</v>
      </c>
      <c r="T58" s="1" t="str">
        <f t="shared" si="7"/>
        <v>7.625-7.625</v>
      </c>
      <c r="U58" s="1" t="str">
        <f t="shared" si="7"/>
        <v>45.75-45.75</v>
      </c>
      <c r="V58" s="1">
        <f t="shared" si="10"/>
        <v>45.75</v>
      </c>
    </row>
    <row r="59" spans="1:22">
      <c r="A59" s="1" t="s">
        <v>289</v>
      </c>
      <c r="B59" s="1" t="s">
        <v>423</v>
      </c>
      <c r="C59" s="1" t="s">
        <v>8</v>
      </c>
      <c r="D59" s="1" t="s">
        <v>284</v>
      </c>
      <c r="E59" s="1">
        <f>E11*0.1</f>
        <v>0</v>
      </c>
      <c r="F59" s="1">
        <f>F11*0.15</f>
        <v>1.5</v>
      </c>
      <c r="G59" s="1">
        <f>G11*0.1</f>
        <v>0</v>
      </c>
      <c r="H59" s="1">
        <f>H11*0.15</f>
        <v>4.2</v>
      </c>
      <c r="M59" s="1" t="s">
        <v>851</v>
      </c>
      <c r="R59" s="1">
        <v>100</v>
      </c>
      <c r="S59" s="1" t="str">
        <f t="shared" si="7"/>
        <v>0-1.5</v>
      </c>
      <c r="T59" s="1" t="str">
        <f t="shared" si="7"/>
        <v>0-18.3</v>
      </c>
      <c r="U59" s="1" t="str">
        <f t="shared" si="7"/>
        <v>0-109.8</v>
      </c>
      <c r="V59" s="1">
        <f t="shared" si="10"/>
        <v>54.900000000000006</v>
      </c>
    </row>
    <row r="60" spans="1:22">
      <c r="A60" s="1" t="s">
        <v>30</v>
      </c>
      <c r="B60" s="1" t="s">
        <v>424</v>
      </c>
      <c r="C60" s="1" t="s">
        <v>8</v>
      </c>
      <c r="D60" s="1" t="s">
        <v>157</v>
      </c>
      <c r="E60" s="1">
        <v>3</v>
      </c>
      <c r="F60" s="1">
        <v>5</v>
      </c>
      <c r="G60" s="1">
        <v>6</v>
      </c>
      <c r="H60" s="1">
        <v>20</v>
      </c>
      <c r="M60" s="1" t="s">
        <v>849</v>
      </c>
      <c r="R60" s="1">
        <v>100</v>
      </c>
      <c r="S60" s="1" t="str">
        <f t="shared" si="7"/>
        <v>3-5</v>
      </c>
      <c r="T60" s="1" t="str">
        <f t="shared" si="7"/>
        <v>27-85</v>
      </c>
      <c r="U60" s="1" t="str">
        <f t="shared" si="7"/>
        <v>162-510</v>
      </c>
      <c r="V60" s="1">
        <f t="shared" si="3"/>
        <v>336</v>
      </c>
    </row>
    <row r="61" spans="1:22">
      <c r="A61" s="1" t="s">
        <v>31</v>
      </c>
      <c r="B61" s="1" t="s">
        <v>425</v>
      </c>
      <c r="C61" s="1" t="s">
        <v>8</v>
      </c>
      <c r="D61" s="1" t="s">
        <v>158</v>
      </c>
      <c r="E61" s="1">
        <v>3</v>
      </c>
      <c r="F61" s="1">
        <v>5</v>
      </c>
      <c r="G61" s="1">
        <v>6</v>
      </c>
      <c r="H61" s="1">
        <v>20</v>
      </c>
      <c r="M61" s="1" t="s">
        <v>849</v>
      </c>
      <c r="R61" s="1">
        <v>100</v>
      </c>
      <c r="S61" s="1" t="str">
        <f t="shared" si="7"/>
        <v>3-5</v>
      </c>
      <c r="T61" s="1" t="str">
        <f t="shared" si="7"/>
        <v>27-85</v>
      </c>
      <c r="U61" s="1" t="str">
        <f t="shared" si="7"/>
        <v>162-510</v>
      </c>
      <c r="V61" s="1">
        <f t="shared" si="3"/>
        <v>336</v>
      </c>
    </row>
    <row r="62" spans="1:22">
      <c r="A62" s="4" t="s">
        <v>296</v>
      </c>
      <c r="B62" s="1" t="s">
        <v>426</v>
      </c>
      <c r="C62" s="1" t="s">
        <v>8</v>
      </c>
      <c r="D62" s="1" t="s">
        <v>290</v>
      </c>
      <c r="E62" s="1">
        <v>2</v>
      </c>
      <c r="F62" s="1">
        <v>10</v>
      </c>
      <c r="G62" s="1">
        <v>5</v>
      </c>
      <c r="H62" s="1">
        <v>22.5</v>
      </c>
      <c r="M62" s="1" t="s">
        <v>856</v>
      </c>
      <c r="R62" s="1">
        <v>100</v>
      </c>
      <c r="S62" s="1" t="str">
        <f t="shared" si="7"/>
        <v>2-10</v>
      </c>
      <c r="T62" s="1" t="str">
        <f t="shared" si="7"/>
        <v>22-100</v>
      </c>
      <c r="U62" s="1" t="str">
        <f t="shared" si="7"/>
        <v>132-600</v>
      </c>
      <c r="V62" s="1">
        <f t="shared" ref="V62" si="11">_xlfn.LET(_xlpm.a,($E62+U$3*$G62)*(1+U$2),_xlpm.b,($F62+U$3*$H62)*(1+U$2),_xlpm.a/2+_xlpm.b/2)</f>
        <v>366</v>
      </c>
    </row>
    <row r="63" spans="1:22">
      <c r="A63" s="1" t="s">
        <v>32</v>
      </c>
      <c r="B63" s="1" t="s">
        <v>427</v>
      </c>
      <c r="C63" s="1" t="s">
        <v>8</v>
      </c>
      <c r="D63" s="1" t="s">
        <v>159</v>
      </c>
      <c r="E63" s="1">
        <v>5</v>
      </c>
      <c r="F63" s="1">
        <v>10</v>
      </c>
      <c r="G63" s="1">
        <v>1.2</v>
      </c>
      <c r="H63" s="1">
        <v>2.4</v>
      </c>
      <c r="M63" s="1" t="s">
        <v>851</v>
      </c>
      <c r="R63" s="1">
        <v>100</v>
      </c>
      <c r="S63" s="1" t="str">
        <f>_xlfn.LET(_xlpm.a,($E63+S$3*$G63)*(1+S$2),_xlpm.b,($F63+S$3*$H63)*(1+S$2),_xlpm.a&amp;"-"&amp;_xlpm.b)</f>
        <v>5-10</v>
      </c>
      <c r="T63" s="1" t="str">
        <f t="shared" ref="T63:U145" si="12">_xlfn.LET(_xlpm.a,($E63+T$3*$G63)*(1+T$2),_xlpm.b,($F63+T$3*$H63)*(1+T$2),_xlpm.a&amp;"-"&amp;_xlpm.b)</f>
        <v>9.8-19.6</v>
      </c>
      <c r="U63" s="1" t="str">
        <f t="shared" si="12"/>
        <v>58.8-117.6</v>
      </c>
      <c r="V63" s="1">
        <f t="shared" si="3"/>
        <v>88.2</v>
      </c>
    </row>
    <row r="64" spans="1:22">
      <c r="A64" s="1" t="s">
        <v>33</v>
      </c>
      <c r="B64" s="1" t="s">
        <v>428</v>
      </c>
      <c r="C64" s="1" t="s">
        <v>8</v>
      </c>
      <c r="D64" s="1" t="s">
        <v>172</v>
      </c>
      <c r="E64" s="1">
        <v>10</v>
      </c>
      <c r="F64" s="1">
        <v>20</v>
      </c>
      <c r="G64" s="1">
        <v>2.5</v>
      </c>
      <c r="H64" s="1">
        <v>5</v>
      </c>
      <c r="M64" s="1" t="s">
        <v>851</v>
      </c>
      <c r="R64" s="1">
        <v>100</v>
      </c>
      <c r="S64" s="1" t="str">
        <f>_xlfn.LET(_xlpm.a,($E64+S$3*$G64)*(1+S$2),_xlpm.b,($F64+S$3*$H64)*(1+S$2),_xlpm.a&amp;"-"&amp;_xlpm.b)</f>
        <v>10-20</v>
      </c>
      <c r="T64" s="1" t="str">
        <f t="shared" si="12"/>
        <v>20-40</v>
      </c>
      <c r="U64" s="1" t="str">
        <f t="shared" si="12"/>
        <v>120-240</v>
      </c>
      <c r="V64" s="1">
        <f t="shared" si="3"/>
        <v>180</v>
      </c>
    </row>
    <row r="65" spans="1:22">
      <c r="A65" s="1" t="s">
        <v>34</v>
      </c>
      <c r="B65" s="1" t="s">
        <v>431</v>
      </c>
      <c r="C65" s="1" t="s">
        <v>8</v>
      </c>
      <c r="D65" s="1" t="s">
        <v>160</v>
      </c>
      <c r="E65" s="1">
        <v>10</v>
      </c>
      <c r="F65" s="1">
        <v>20</v>
      </c>
      <c r="G65" s="1">
        <v>2.5</v>
      </c>
      <c r="H65" s="1">
        <v>5</v>
      </c>
      <c r="M65" s="1" t="s">
        <v>851</v>
      </c>
      <c r="R65" s="1">
        <v>100</v>
      </c>
      <c r="S65" s="1" t="str">
        <f t="shared" ref="S65:U146" si="13">_xlfn.LET(_xlpm.a,($E65+S$3*$G65)*(1+S$2),_xlpm.b,($F65+S$3*$H65)*(1+S$2),_xlpm.a&amp;"-"&amp;_xlpm.b)</f>
        <v>10-20</v>
      </c>
      <c r="T65" s="1" t="str">
        <f t="shared" si="12"/>
        <v>20-40</v>
      </c>
      <c r="U65" s="1" t="str">
        <f t="shared" si="12"/>
        <v>120-240</v>
      </c>
      <c r="V65" s="1">
        <f t="shared" si="3"/>
        <v>180</v>
      </c>
    </row>
    <row r="66" spans="1:22">
      <c r="A66" s="1" t="s">
        <v>35</v>
      </c>
      <c r="B66" s="1" t="s">
        <v>429</v>
      </c>
      <c r="C66" s="1" t="s">
        <v>8</v>
      </c>
      <c r="D66" s="1" t="s">
        <v>161</v>
      </c>
      <c r="E66" s="1">
        <v>10</v>
      </c>
      <c r="F66" s="1">
        <v>20</v>
      </c>
      <c r="G66" s="1">
        <v>2.5</v>
      </c>
      <c r="H66" s="1">
        <v>5</v>
      </c>
      <c r="M66" s="1" t="s">
        <v>851</v>
      </c>
      <c r="R66" s="1">
        <v>100</v>
      </c>
      <c r="S66" s="1" t="str">
        <f t="shared" si="13"/>
        <v>10-20</v>
      </c>
      <c r="T66" s="1" t="str">
        <f t="shared" si="12"/>
        <v>20-40</v>
      </c>
      <c r="U66" s="1" t="str">
        <f t="shared" si="12"/>
        <v>120-240</v>
      </c>
      <c r="V66" s="1">
        <f t="shared" si="3"/>
        <v>180</v>
      </c>
    </row>
    <row r="67" spans="1:22">
      <c r="A67" s="1" t="s">
        <v>36</v>
      </c>
      <c r="B67" s="1" t="s">
        <v>430</v>
      </c>
      <c r="C67" s="1" t="s">
        <v>8</v>
      </c>
      <c r="D67" s="1" t="s">
        <v>162</v>
      </c>
      <c r="E67" s="1">
        <v>10</v>
      </c>
      <c r="F67" s="1">
        <v>20</v>
      </c>
      <c r="G67" s="1">
        <v>2.5</v>
      </c>
      <c r="H67" s="1">
        <v>5</v>
      </c>
      <c r="M67" s="1" t="s">
        <v>851</v>
      </c>
      <c r="R67" s="1">
        <v>100</v>
      </c>
      <c r="S67" s="1" t="str">
        <f t="shared" si="13"/>
        <v>10-20</v>
      </c>
      <c r="T67" s="1" t="str">
        <f t="shared" si="12"/>
        <v>20-40</v>
      </c>
      <c r="U67" s="1" t="str">
        <f t="shared" si="12"/>
        <v>120-240</v>
      </c>
      <c r="V67" s="1">
        <f t="shared" si="3"/>
        <v>180</v>
      </c>
    </row>
    <row r="68" spans="1:22">
      <c r="A68" s="1" t="s">
        <v>624</v>
      </c>
      <c r="B68" s="1" t="s">
        <v>624</v>
      </c>
      <c r="C68" s="1" t="s">
        <v>8</v>
      </c>
      <c r="D68" s="1" t="s">
        <v>159</v>
      </c>
      <c r="E68" s="1">
        <v>50</v>
      </c>
      <c r="F68" s="1">
        <v>50</v>
      </c>
      <c r="G68" s="1">
        <v>0</v>
      </c>
      <c r="H68" s="1">
        <v>0</v>
      </c>
      <c r="I68" s="1">
        <v>0</v>
      </c>
      <c r="S68" s="1" t="str">
        <f t="shared" si="13"/>
        <v>50-50</v>
      </c>
      <c r="T68" s="1" t="str">
        <f t="shared" si="12"/>
        <v>50-50</v>
      </c>
      <c r="U68" s="1" t="str">
        <f t="shared" si="12"/>
        <v>300-300</v>
      </c>
      <c r="V68" s="1">
        <f t="shared" ref="V68:V72" si="14">_xlfn.LET(_xlpm.a,($E68+U$3*$G68)*(1+U$2),_xlpm.b,($F68+U$3*$H68)*(1+U$2),_xlpm.a/2+_xlpm.b/2)</f>
        <v>300</v>
      </c>
    </row>
    <row r="69" spans="1:22">
      <c r="A69" s="1" t="s">
        <v>625</v>
      </c>
      <c r="B69" s="1" t="s">
        <v>625</v>
      </c>
      <c r="C69" s="1" t="s">
        <v>8</v>
      </c>
      <c r="D69" s="1" t="s">
        <v>172</v>
      </c>
      <c r="E69" s="1">
        <v>50</v>
      </c>
      <c r="F69" s="1">
        <v>50</v>
      </c>
      <c r="G69" s="1">
        <v>0</v>
      </c>
      <c r="H69" s="1">
        <v>0</v>
      </c>
      <c r="I69" s="1">
        <v>0</v>
      </c>
      <c r="S69" s="1" t="str">
        <f t="shared" si="13"/>
        <v>50-50</v>
      </c>
      <c r="T69" s="1" t="str">
        <f t="shared" si="12"/>
        <v>50-50</v>
      </c>
      <c r="U69" s="1" t="str">
        <f t="shared" si="12"/>
        <v>300-300</v>
      </c>
      <c r="V69" s="1">
        <f t="shared" si="14"/>
        <v>300</v>
      </c>
    </row>
    <row r="70" spans="1:22">
      <c r="A70" s="1" t="s">
        <v>626</v>
      </c>
      <c r="B70" s="1" t="s">
        <v>626</v>
      </c>
      <c r="C70" s="1" t="s">
        <v>8</v>
      </c>
      <c r="D70" s="1" t="s">
        <v>160</v>
      </c>
      <c r="E70" s="1">
        <v>50</v>
      </c>
      <c r="F70" s="1">
        <v>50</v>
      </c>
      <c r="G70" s="1">
        <v>0</v>
      </c>
      <c r="H70" s="1">
        <v>0</v>
      </c>
      <c r="I70" s="1">
        <v>0</v>
      </c>
      <c r="S70" s="1" t="str">
        <f t="shared" si="13"/>
        <v>50-50</v>
      </c>
      <c r="T70" s="1" t="str">
        <f t="shared" si="12"/>
        <v>50-50</v>
      </c>
      <c r="U70" s="1" t="str">
        <f t="shared" si="12"/>
        <v>300-300</v>
      </c>
      <c r="V70" s="1">
        <f t="shared" si="14"/>
        <v>300</v>
      </c>
    </row>
    <row r="71" spans="1:22">
      <c r="A71" s="1" t="s">
        <v>627</v>
      </c>
      <c r="B71" s="1" t="s">
        <v>627</v>
      </c>
      <c r="C71" s="1" t="s">
        <v>8</v>
      </c>
      <c r="D71" s="1" t="s">
        <v>161</v>
      </c>
      <c r="E71" s="1">
        <v>50</v>
      </c>
      <c r="F71" s="1">
        <v>50</v>
      </c>
      <c r="G71" s="1">
        <v>0</v>
      </c>
      <c r="H71" s="1">
        <v>0</v>
      </c>
      <c r="I71" s="1">
        <v>0</v>
      </c>
      <c r="S71" s="1" t="str">
        <f t="shared" si="13"/>
        <v>50-50</v>
      </c>
      <c r="T71" s="1" t="str">
        <f t="shared" si="12"/>
        <v>50-50</v>
      </c>
      <c r="U71" s="1" t="str">
        <f t="shared" si="12"/>
        <v>300-300</v>
      </c>
      <c r="V71" s="1">
        <f t="shared" si="14"/>
        <v>300</v>
      </c>
    </row>
    <row r="72" spans="1:22">
      <c r="A72" s="1" t="s">
        <v>628</v>
      </c>
      <c r="B72" s="1" t="s">
        <v>628</v>
      </c>
      <c r="C72" s="1" t="s">
        <v>8</v>
      </c>
      <c r="D72" s="1" t="s">
        <v>162</v>
      </c>
      <c r="E72" s="1">
        <v>50</v>
      </c>
      <c r="F72" s="1">
        <v>50</v>
      </c>
      <c r="G72" s="1">
        <v>0</v>
      </c>
      <c r="H72" s="1">
        <v>0</v>
      </c>
      <c r="I72" s="1">
        <v>0</v>
      </c>
      <c r="S72" s="1" t="str">
        <f t="shared" si="13"/>
        <v>50-50</v>
      </c>
      <c r="T72" s="1" t="str">
        <f t="shared" si="12"/>
        <v>50-50</v>
      </c>
      <c r="U72" s="1" t="str">
        <f t="shared" si="12"/>
        <v>300-300</v>
      </c>
      <c r="V72" s="1">
        <f t="shared" si="14"/>
        <v>300</v>
      </c>
    </row>
    <row r="73" spans="1:22">
      <c r="A73" s="1" t="s">
        <v>249</v>
      </c>
      <c r="B73" s="1" t="s">
        <v>432</v>
      </c>
      <c r="C73" s="1" t="s">
        <v>8</v>
      </c>
      <c r="D73" s="1" t="s">
        <v>248</v>
      </c>
      <c r="E73" s="1">
        <v>1</v>
      </c>
      <c r="F73" s="1">
        <v>3</v>
      </c>
      <c r="G73" s="1">
        <v>0</v>
      </c>
      <c r="H73" s="1">
        <v>0.5</v>
      </c>
      <c r="S73" s="1" t="str">
        <f t="shared" si="13"/>
        <v>1-3</v>
      </c>
      <c r="T73" s="1" t="str">
        <f t="shared" si="12"/>
        <v>1-5</v>
      </c>
      <c r="U73" s="1" t="str">
        <f t="shared" si="12"/>
        <v>6-30</v>
      </c>
      <c r="V73" s="1">
        <f t="shared" ref="V73:V77" si="15">_xlfn.LET(_xlpm.a,($E73+U$3*$G73)*(1+U$2),_xlpm.b,($F73+U$3*$H73)*(1+U$2),_xlpm.a/2+_xlpm.b/2)</f>
        <v>18</v>
      </c>
    </row>
    <row r="74" spans="1:22">
      <c r="A74" s="1" t="s">
        <v>251</v>
      </c>
      <c r="B74" s="1" t="s">
        <v>436</v>
      </c>
      <c r="C74" s="1" t="s">
        <v>8</v>
      </c>
      <c r="D74" s="1" t="s">
        <v>250</v>
      </c>
      <c r="E74" s="1">
        <v>1</v>
      </c>
      <c r="F74" s="1">
        <v>3</v>
      </c>
      <c r="G74" s="1">
        <v>0</v>
      </c>
      <c r="H74" s="1">
        <v>0.5</v>
      </c>
      <c r="S74" s="1" t="str">
        <f t="shared" si="13"/>
        <v>1-3</v>
      </c>
      <c r="T74" s="1" t="str">
        <f t="shared" si="12"/>
        <v>1-5</v>
      </c>
      <c r="U74" s="1" t="str">
        <f t="shared" si="12"/>
        <v>6-30</v>
      </c>
      <c r="V74" s="1">
        <f t="shared" si="15"/>
        <v>18</v>
      </c>
    </row>
    <row r="75" spans="1:22">
      <c r="A75" s="1" t="s">
        <v>252</v>
      </c>
      <c r="B75" s="1" t="s">
        <v>433</v>
      </c>
      <c r="C75" s="1" t="s">
        <v>8</v>
      </c>
      <c r="D75" s="1" t="s">
        <v>255</v>
      </c>
      <c r="E75" s="1">
        <v>1</v>
      </c>
      <c r="F75" s="1">
        <v>3</v>
      </c>
      <c r="G75" s="1">
        <v>0</v>
      </c>
      <c r="H75" s="1">
        <v>0.5</v>
      </c>
      <c r="S75" s="1" t="str">
        <f t="shared" si="13"/>
        <v>1-3</v>
      </c>
      <c r="T75" s="1" t="str">
        <f t="shared" si="12"/>
        <v>1-5</v>
      </c>
      <c r="U75" s="1" t="str">
        <f t="shared" si="12"/>
        <v>6-30</v>
      </c>
      <c r="V75" s="1">
        <f t="shared" si="15"/>
        <v>18</v>
      </c>
    </row>
    <row r="76" spans="1:22">
      <c r="A76" s="1" t="s">
        <v>253</v>
      </c>
      <c r="B76" s="1" t="s">
        <v>434</v>
      </c>
      <c r="C76" s="1" t="s">
        <v>8</v>
      </c>
      <c r="D76" s="1" t="s">
        <v>256</v>
      </c>
      <c r="E76" s="1">
        <v>1</v>
      </c>
      <c r="F76" s="1">
        <v>3</v>
      </c>
      <c r="G76" s="1">
        <v>0</v>
      </c>
      <c r="H76" s="1">
        <v>0.5</v>
      </c>
      <c r="S76" s="1" t="str">
        <f t="shared" si="13"/>
        <v>1-3</v>
      </c>
      <c r="T76" s="1" t="str">
        <f t="shared" si="12"/>
        <v>1-5</v>
      </c>
      <c r="U76" s="1" t="str">
        <f t="shared" si="12"/>
        <v>6-30</v>
      </c>
      <c r="V76" s="1">
        <f t="shared" si="15"/>
        <v>18</v>
      </c>
    </row>
    <row r="77" spans="1:22">
      <c r="A77" s="1" t="s">
        <v>254</v>
      </c>
      <c r="B77" s="1" t="s">
        <v>435</v>
      </c>
      <c r="C77" s="1" t="s">
        <v>8</v>
      </c>
      <c r="D77" s="1" t="s">
        <v>257</v>
      </c>
      <c r="E77" s="1">
        <v>1</v>
      </c>
      <c r="F77" s="1">
        <v>3</v>
      </c>
      <c r="G77" s="1">
        <v>0</v>
      </c>
      <c r="H77" s="1">
        <v>0.5</v>
      </c>
      <c r="S77" s="1" t="str">
        <f t="shared" si="13"/>
        <v>1-3</v>
      </c>
      <c r="T77" s="1" t="str">
        <f t="shared" si="12"/>
        <v>1-5</v>
      </c>
      <c r="U77" s="1" t="str">
        <f t="shared" si="12"/>
        <v>6-30</v>
      </c>
      <c r="V77" s="1">
        <f t="shared" si="15"/>
        <v>18</v>
      </c>
    </row>
    <row r="78" spans="1:22">
      <c r="A78" s="1" t="s">
        <v>265</v>
      </c>
      <c r="B78" s="1" t="s">
        <v>437</v>
      </c>
      <c r="C78" s="1" t="s">
        <v>8</v>
      </c>
      <c r="D78" s="1" t="s">
        <v>258</v>
      </c>
      <c r="E78" s="1">
        <v>5</v>
      </c>
      <c r="F78" s="1">
        <v>10</v>
      </c>
      <c r="G78" s="1">
        <v>0.5</v>
      </c>
      <c r="H78" s="1">
        <v>2</v>
      </c>
      <c r="M78" s="1" t="s">
        <v>851</v>
      </c>
      <c r="R78" s="1">
        <v>120</v>
      </c>
      <c r="S78" s="1" t="str">
        <f t="shared" si="13"/>
        <v>5-10</v>
      </c>
      <c r="T78" s="1" t="str">
        <f t="shared" si="12"/>
        <v>7-18</v>
      </c>
      <c r="U78" s="1" t="str">
        <f t="shared" si="12"/>
        <v>42-108</v>
      </c>
      <c r="V78" s="1">
        <f t="shared" ref="V78:V126" si="16">_xlfn.LET(_xlpm.a,($E78+U$3*$G78)*(1+U$2),_xlpm.b,($F78+U$3*$H78)*(1+U$2),_xlpm.a/2+_xlpm.b/2)</f>
        <v>75</v>
      </c>
    </row>
    <row r="79" spans="1:22">
      <c r="A79" s="1" t="s">
        <v>266</v>
      </c>
      <c r="B79" s="1" t="s">
        <v>438</v>
      </c>
      <c r="C79" s="1" t="s">
        <v>8</v>
      </c>
      <c r="D79" s="1" t="s">
        <v>259</v>
      </c>
      <c r="E79" s="1">
        <v>5</v>
      </c>
      <c r="F79" s="1">
        <v>10</v>
      </c>
      <c r="G79" s="1">
        <v>0.5</v>
      </c>
      <c r="H79" s="1">
        <v>2</v>
      </c>
      <c r="M79" s="1" t="s">
        <v>851</v>
      </c>
      <c r="R79" s="1">
        <v>120</v>
      </c>
      <c r="S79" s="1" t="str">
        <f t="shared" si="13"/>
        <v>5-10</v>
      </c>
      <c r="T79" s="1" t="str">
        <f t="shared" si="12"/>
        <v>7-18</v>
      </c>
      <c r="U79" s="1" t="str">
        <f t="shared" si="12"/>
        <v>42-108</v>
      </c>
      <c r="V79" s="1">
        <f t="shared" si="16"/>
        <v>75</v>
      </c>
    </row>
    <row r="80" spans="1:22">
      <c r="A80" s="1" t="s">
        <v>267</v>
      </c>
      <c r="B80" s="1" t="s">
        <v>439</v>
      </c>
      <c r="C80" s="1" t="s">
        <v>8</v>
      </c>
      <c r="D80" s="1" t="s">
        <v>260</v>
      </c>
      <c r="E80" s="1">
        <v>5</v>
      </c>
      <c r="F80" s="1">
        <v>10</v>
      </c>
      <c r="G80" s="1">
        <v>0.5</v>
      </c>
      <c r="H80" s="1">
        <v>2</v>
      </c>
      <c r="M80" s="1" t="s">
        <v>851</v>
      </c>
      <c r="R80" s="1">
        <v>100</v>
      </c>
      <c r="S80" s="1" t="str">
        <f t="shared" si="13"/>
        <v>5-10</v>
      </c>
      <c r="T80" s="1" t="str">
        <f t="shared" si="12"/>
        <v>7-18</v>
      </c>
      <c r="U80" s="1" t="str">
        <f t="shared" si="12"/>
        <v>42-108</v>
      </c>
      <c r="V80" s="1">
        <f t="shared" si="16"/>
        <v>75</v>
      </c>
    </row>
    <row r="81" spans="1:22">
      <c r="A81" s="1" t="s">
        <v>268</v>
      </c>
      <c r="B81" s="1" t="s">
        <v>440</v>
      </c>
      <c r="C81" s="1" t="s">
        <v>8</v>
      </c>
      <c r="D81" s="1" t="s">
        <v>261</v>
      </c>
      <c r="E81" s="1">
        <v>5</v>
      </c>
      <c r="F81" s="1">
        <v>10</v>
      </c>
      <c r="G81" s="1">
        <v>0.5</v>
      </c>
      <c r="H81" s="1">
        <v>2</v>
      </c>
      <c r="M81" s="1" t="s">
        <v>851</v>
      </c>
      <c r="R81" s="1">
        <v>100</v>
      </c>
      <c r="S81" s="1" t="str">
        <f t="shared" si="13"/>
        <v>5-10</v>
      </c>
      <c r="T81" s="1" t="str">
        <f t="shared" si="12"/>
        <v>7-18</v>
      </c>
      <c r="U81" s="1" t="str">
        <f t="shared" si="12"/>
        <v>42-108</v>
      </c>
      <c r="V81" s="1">
        <f t="shared" si="16"/>
        <v>75</v>
      </c>
    </row>
    <row r="82" spans="1:22">
      <c r="A82" s="1" t="s">
        <v>269</v>
      </c>
      <c r="B82" s="1" t="s">
        <v>441</v>
      </c>
      <c r="C82" s="1" t="s">
        <v>8</v>
      </c>
      <c r="D82" s="1" t="s">
        <v>262</v>
      </c>
      <c r="E82" s="1">
        <v>5</v>
      </c>
      <c r="F82" s="1">
        <v>10</v>
      </c>
      <c r="G82" s="1">
        <v>0.5</v>
      </c>
      <c r="H82" s="1">
        <v>2</v>
      </c>
      <c r="M82" s="1" t="s">
        <v>851</v>
      </c>
      <c r="R82" s="1">
        <v>100</v>
      </c>
      <c r="S82" s="1" t="str">
        <f t="shared" si="13"/>
        <v>5-10</v>
      </c>
      <c r="T82" s="1" t="str">
        <f t="shared" si="12"/>
        <v>7-18</v>
      </c>
      <c r="U82" s="1" t="str">
        <f t="shared" si="12"/>
        <v>42-108</v>
      </c>
      <c r="V82" s="1">
        <f t="shared" si="16"/>
        <v>75</v>
      </c>
    </row>
    <row r="83" spans="1:22">
      <c r="A83" s="1" t="s">
        <v>270</v>
      </c>
      <c r="B83" s="1" t="s">
        <v>442</v>
      </c>
      <c r="C83" s="1" t="s">
        <v>8</v>
      </c>
      <c r="D83" s="1" t="s">
        <v>263</v>
      </c>
      <c r="E83" s="1">
        <v>5</v>
      </c>
      <c r="F83" s="1">
        <v>10</v>
      </c>
      <c r="G83" s="1">
        <v>0.5</v>
      </c>
      <c r="H83" s="1">
        <v>2</v>
      </c>
      <c r="M83" s="1" t="s">
        <v>851</v>
      </c>
      <c r="R83" s="1">
        <v>100</v>
      </c>
      <c r="S83" s="1" t="str">
        <f t="shared" si="13"/>
        <v>5-10</v>
      </c>
      <c r="T83" s="1" t="str">
        <f t="shared" si="12"/>
        <v>7-18</v>
      </c>
      <c r="U83" s="1" t="str">
        <f t="shared" si="12"/>
        <v>42-108</v>
      </c>
      <c r="V83" s="1">
        <f t="shared" si="16"/>
        <v>75</v>
      </c>
    </row>
    <row r="84" spans="1:22">
      <c r="A84" s="1" t="s">
        <v>271</v>
      </c>
      <c r="B84" s="1" t="s">
        <v>443</v>
      </c>
      <c r="C84" s="1" t="s">
        <v>8</v>
      </c>
      <c r="D84" s="1" t="s">
        <v>264</v>
      </c>
      <c r="E84" s="1">
        <v>5</v>
      </c>
      <c r="F84" s="1">
        <v>15</v>
      </c>
      <c r="G84" s="1">
        <v>0.5</v>
      </c>
      <c r="H84" s="1">
        <v>4</v>
      </c>
      <c r="M84" s="1" t="s">
        <v>851</v>
      </c>
      <c r="R84" s="1">
        <v>100</v>
      </c>
      <c r="S84" s="1" t="str">
        <f t="shared" si="13"/>
        <v>5-15</v>
      </c>
      <c r="T84" s="1" t="str">
        <f t="shared" si="12"/>
        <v>7-31</v>
      </c>
      <c r="U84" s="1" t="str">
        <f t="shared" si="12"/>
        <v>42-186</v>
      </c>
      <c r="V84" s="1">
        <f t="shared" si="16"/>
        <v>114</v>
      </c>
    </row>
    <row r="85" spans="1:22" s="3" customFormat="1">
      <c r="A85" s="3" t="s">
        <v>42</v>
      </c>
      <c r="B85" s="3" t="s">
        <v>451</v>
      </c>
      <c r="C85" s="3" t="s">
        <v>8</v>
      </c>
      <c r="D85" s="3" t="s">
        <v>163</v>
      </c>
      <c r="E85" s="3">
        <v>1</v>
      </c>
      <c r="F85" s="3">
        <v>1</v>
      </c>
      <c r="G85" s="3">
        <v>0</v>
      </c>
      <c r="H85" s="3">
        <v>0</v>
      </c>
      <c r="N85" s="3" t="s">
        <v>769</v>
      </c>
      <c r="O85" s="3" t="s">
        <v>769</v>
      </c>
      <c r="P85" s="3">
        <v>12</v>
      </c>
      <c r="Q85" s="3">
        <v>14</v>
      </c>
      <c r="S85" s="3" t="str">
        <f t="shared" si="13"/>
        <v>1-1</v>
      </c>
      <c r="T85" s="3" t="str">
        <f t="shared" si="12"/>
        <v>1-1</v>
      </c>
      <c r="U85" s="3" t="str">
        <f t="shared" si="12"/>
        <v>6-6</v>
      </c>
      <c r="V85" s="3">
        <f t="shared" si="16"/>
        <v>6</v>
      </c>
    </row>
    <row r="86" spans="1:22" s="3" customFormat="1">
      <c r="A86" s="3" t="s">
        <v>43</v>
      </c>
      <c r="B86" s="3" t="s">
        <v>453</v>
      </c>
      <c r="C86" s="3" t="s">
        <v>8</v>
      </c>
      <c r="D86" s="3" t="s">
        <v>164</v>
      </c>
      <c r="E86" s="3">
        <v>1</v>
      </c>
      <c r="F86" s="3">
        <v>1</v>
      </c>
      <c r="G86" s="3">
        <v>0</v>
      </c>
      <c r="H86" s="3">
        <v>0</v>
      </c>
      <c r="N86" s="3" t="s">
        <v>770</v>
      </c>
      <c r="O86" s="3" t="s">
        <v>770</v>
      </c>
      <c r="P86" s="3">
        <v>12</v>
      </c>
      <c r="Q86" s="3">
        <v>14</v>
      </c>
      <c r="S86" s="3" t="str">
        <f t="shared" si="13"/>
        <v>1-1</v>
      </c>
      <c r="T86" s="3" t="str">
        <f t="shared" si="12"/>
        <v>1-1</v>
      </c>
      <c r="U86" s="3" t="str">
        <f t="shared" si="12"/>
        <v>6-6</v>
      </c>
      <c r="V86" s="3">
        <f t="shared" si="16"/>
        <v>6</v>
      </c>
    </row>
    <row r="87" spans="1:22" s="3" customFormat="1">
      <c r="A87" s="3" t="s">
        <v>754</v>
      </c>
      <c r="B87" s="3" t="s">
        <v>752</v>
      </c>
      <c r="C87" s="3" t="s">
        <v>8</v>
      </c>
      <c r="D87" s="3" t="s">
        <v>165</v>
      </c>
      <c r="E87" s="3">
        <v>1</v>
      </c>
      <c r="F87" s="3">
        <v>1</v>
      </c>
      <c r="G87" s="3">
        <v>0</v>
      </c>
      <c r="H87" s="3">
        <v>0</v>
      </c>
      <c r="N87" s="3" t="s">
        <v>771</v>
      </c>
      <c r="O87" s="3" t="s">
        <v>771</v>
      </c>
      <c r="P87" s="3">
        <v>12</v>
      </c>
      <c r="Q87" s="3">
        <v>14</v>
      </c>
      <c r="R87" s="3">
        <v>50</v>
      </c>
      <c r="S87" s="3" t="str">
        <f t="shared" si="13"/>
        <v>1-1</v>
      </c>
      <c r="T87" s="3" t="str">
        <f t="shared" si="12"/>
        <v>1-1</v>
      </c>
      <c r="U87" s="3" t="str">
        <f t="shared" si="12"/>
        <v>6-6</v>
      </c>
      <c r="V87" s="3">
        <f t="shared" ref="V87" si="17">_xlfn.LET(_xlpm.a,($E87+U$3*$G87)*(1+U$2),_xlpm.b,($F87+U$3*$H87)*(1+U$2),_xlpm.a/2+_xlpm.b/2)</f>
        <v>6</v>
      </c>
    </row>
    <row r="88" spans="1:22" s="3" customFormat="1">
      <c r="A88" s="3" t="s">
        <v>444</v>
      </c>
      <c r="B88" s="3" t="s">
        <v>450</v>
      </c>
      <c r="C88" s="3" t="s">
        <v>8</v>
      </c>
      <c r="D88" s="3" t="s">
        <v>741</v>
      </c>
      <c r="E88" s="3">
        <v>1</v>
      </c>
      <c r="F88" s="3">
        <v>1</v>
      </c>
      <c r="G88" s="3">
        <v>0</v>
      </c>
      <c r="H88" s="3">
        <v>0</v>
      </c>
      <c r="M88" s="3" t="s">
        <v>569</v>
      </c>
      <c r="N88" s="3" t="s">
        <v>769</v>
      </c>
      <c r="O88" s="3" t="s">
        <v>769</v>
      </c>
      <c r="P88" s="3">
        <v>12</v>
      </c>
      <c r="Q88" s="3">
        <v>14</v>
      </c>
      <c r="R88" s="3">
        <v>70</v>
      </c>
      <c r="S88" s="3" t="str">
        <f t="shared" si="13"/>
        <v>1-1</v>
      </c>
      <c r="T88" s="3" t="str">
        <f t="shared" si="12"/>
        <v>1-1</v>
      </c>
      <c r="U88" s="3" t="str">
        <f t="shared" si="12"/>
        <v>6-6</v>
      </c>
      <c r="V88" s="3">
        <f t="shared" si="16"/>
        <v>6</v>
      </c>
    </row>
    <row r="89" spans="1:22" s="3" customFormat="1">
      <c r="A89" s="3" t="s">
        <v>445</v>
      </c>
      <c r="B89" s="3" t="s">
        <v>452</v>
      </c>
      <c r="C89" s="3" t="s">
        <v>8</v>
      </c>
      <c r="D89" s="3" t="s">
        <v>742</v>
      </c>
      <c r="E89" s="3">
        <v>1</v>
      </c>
      <c r="F89" s="3">
        <v>1</v>
      </c>
      <c r="G89" s="3">
        <v>0</v>
      </c>
      <c r="H89" s="3">
        <v>0</v>
      </c>
      <c r="M89" s="3" t="s">
        <v>569</v>
      </c>
      <c r="N89" s="3" t="s">
        <v>770</v>
      </c>
      <c r="O89" s="3" t="s">
        <v>770</v>
      </c>
      <c r="P89" s="3">
        <v>12</v>
      </c>
      <c r="Q89" s="3">
        <v>14</v>
      </c>
      <c r="R89" s="3">
        <v>70</v>
      </c>
      <c r="S89" s="3" t="str">
        <f t="shared" si="13"/>
        <v>1-1</v>
      </c>
      <c r="T89" s="3" t="str">
        <f t="shared" si="12"/>
        <v>1-1</v>
      </c>
      <c r="U89" s="3" t="str">
        <f t="shared" si="12"/>
        <v>6-6</v>
      </c>
      <c r="V89" s="3">
        <f t="shared" si="16"/>
        <v>6</v>
      </c>
    </row>
    <row r="90" spans="1:22" s="3" customFormat="1">
      <c r="A90" s="3" t="s">
        <v>44</v>
      </c>
      <c r="B90" s="3" t="s">
        <v>454</v>
      </c>
      <c r="C90" s="3" t="s">
        <v>8</v>
      </c>
      <c r="D90" s="3" t="s">
        <v>749</v>
      </c>
      <c r="E90" s="3">
        <v>1</v>
      </c>
      <c r="F90" s="3">
        <v>1</v>
      </c>
      <c r="G90" s="3">
        <v>0</v>
      </c>
      <c r="H90" s="3">
        <v>0</v>
      </c>
      <c r="M90" s="3" t="s">
        <v>394</v>
      </c>
      <c r="N90" s="3" t="s">
        <v>771</v>
      </c>
      <c r="O90" s="3" t="s">
        <v>771</v>
      </c>
      <c r="P90" s="3">
        <v>12</v>
      </c>
      <c r="Q90" s="3">
        <v>14</v>
      </c>
      <c r="R90" s="3">
        <v>50</v>
      </c>
      <c r="S90" s="3" t="str">
        <f t="shared" si="13"/>
        <v>1-1</v>
      </c>
      <c r="T90" s="3" t="str">
        <f t="shared" si="12"/>
        <v>1-1</v>
      </c>
      <c r="U90" s="3" t="str">
        <f t="shared" si="12"/>
        <v>6-6</v>
      </c>
      <c r="V90" s="3">
        <f t="shared" si="16"/>
        <v>6</v>
      </c>
    </row>
    <row r="91" spans="1:22" s="3" customFormat="1">
      <c r="A91" s="3" t="s">
        <v>45</v>
      </c>
      <c r="B91" s="3" t="s">
        <v>460</v>
      </c>
      <c r="C91" s="3" t="s">
        <v>8</v>
      </c>
      <c r="D91" s="3" t="s">
        <v>173</v>
      </c>
      <c r="E91" s="3">
        <v>1</v>
      </c>
      <c r="F91" s="3">
        <v>1</v>
      </c>
      <c r="G91" s="3">
        <v>0</v>
      </c>
      <c r="H91" s="3">
        <v>0</v>
      </c>
      <c r="N91" s="3" t="s">
        <v>772</v>
      </c>
      <c r="O91" s="3" t="s">
        <v>772</v>
      </c>
      <c r="P91" s="3">
        <v>12</v>
      </c>
      <c r="Q91" s="3">
        <v>14</v>
      </c>
      <c r="S91" s="3" t="str">
        <f t="shared" si="13"/>
        <v>1-1</v>
      </c>
      <c r="T91" s="3" t="str">
        <f t="shared" si="12"/>
        <v>1-1</v>
      </c>
      <c r="U91" s="3" t="str">
        <f t="shared" si="12"/>
        <v>6-6</v>
      </c>
      <c r="V91" s="3">
        <f t="shared" si="16"/>
        <v>6</v>
      </c>
    </row>
    <row r="92" spans="1:22" s="3" customFormat="1">
      <c r="A92" s="3" t="s">
        <v>46</v>
      </c>
      <c r="B92" s="3" t="s">
        <v>458</v>
      </c>
      <c r="C92" s="3" t="s">
        <v>8</v>
      </c>
      <c r="D92" s="3" t="s">
        <v>174</v>
      </c>
      <c r="E92" s="3">
        <v>1</v>
      </c>
      <c r="F92" s="3">
        <v>1</v>
      </c>
      <c r="G92" s="3">
        <v>0</v>
      </c>
      <c r="H92" s="3">
        <v>0</v>
      </c>
      <c r="N92" s="3" t="s">
        <v>773</v>
      </c>
      <c r="O92" s="3" t="s">
        <v>773</v>
      </c>
      <c r="P92" s="3">
        <v>12</v>
      </c>
      <c r="Q92" s="3">
        <v>14</v>
      </c>
      <c r="S92" s="3" t="str">
        <f t="shared" si="13"/>
        <v>1-1</v>
      </c>
      <c r="T92" s="3" t="str">
        <f t="shared" si="12"/>
        <v>1-1</v>
      </c>
      <c r="U92" s="3" t="str">
        <f t="shared" si="12"/>
        <v>6-6</v>
      </c>
      <c r="V92" s="3">
        <f t="shared" si="16"/>
        <v>6</v>
      </c>
    </row>
    <row r="93" spans="1:22" s="3" customFormat="1">
      <c r="A93" s="3" t="s">
        <v>753</v>
      </c>
      <c r="B93" s="3" t="s">
        <v>755</v>
      </c>
      <c r="C93" s="3" t="s">
        <v>8</v>
      </c>
      <c r="D93" s="3" t="s">
        <v>175</v>
      </c>
      <c r="E93" s="3">
        <v>1</v>
      </c>
      <c r="F93" s="3">
        <v>1</v>
      </c>
      <c r="G93" s="3">
        <v>0</v>
      </c>
      <c r="H93" s="3">
        <v>0</v>
      </c>
      <c r="N93" s="3" t="s">
        <v>774</v>
      </c>
      <c r="O93" s="3" t="s">
        <v>774</v>
      </c>
      <c r="P93" s="3">
        <v>12</v>
      </c>
      <c r="Q93" s="3">
        <v>14</v>
      </c>
      <c r="R93" s="3">
        <v>50</v>
      </c>
      <c r="S93" s="3" t="str">
        <f t="shared" si="13"/>
        <v>1-1</v>
      </c>
      <c r="T93" s="3" t="str">
        <f t="shared" si="12"/>
        <v>1-1</v>
      </c>
      <c r="U93" s="3" t="str">
        <f t="shared" si="12"/>
        <v>6-6</v>
      </c>
      <c r="V93" s="3">
        <f t="shared" ref="V93" si="18">_xlfn.LET(_xlpm.a,($E93+U$3*$G93)*(1+U$2),_xlpm.b,($F93+U$3*$H93)*(1+U$2),_xlpm.a/2+_xlpm.b/2)</f>
        <v>6</v>
      </c>
    </row>
    <row r="94" spans="1:22" s="3" customFormat="1">
      <c r="A94" s="3" t="s">
        <v>446</v>
      </c>
      <c r="B94" s="3" t="s">
        <v>459</v>
      </c>
      <c r="C94" s="3" t="s">
        <v>8</v>
      </c>
      <c r="D94" s="3" t="s">
        <v>743</v>
      </c>
      <c r="E94" s="3">
        <v>1</v>
      </c>
      <c r="F94" s="3">
        <v>1</v>
      </c>
      <c r="G94" s="3">
        <v>0</v>
      </c>
      <c r="H94" s="3">
        <v>0</v>
      </c>
      <c r="M94" s="3" t="s">
        <v>569</v>
      </c>
      <c r="N94" s="3" t="s">
        <v>772</v>
      </c>
      <c r="O94" s="3" t="s">
        <v>772</v>
      </c>
      <c r="P94" s="3">
        <v>12</v>
      </c>
      <c r="Q94" s="3">
        <v>14</v>
      </c>
      <c r="R94" s="3">
        <v>70</v>
      </c>
      <c r="S94" s="3" t="str">
        <f t="shared" si="13"/>
        <v>1-1</v>
      </c>
      <c r="T94" s="3" t="str">
        <f t="shared" si="12"/>
        <v>1-1</v>
      </c>
      <c r="U94" s="3" t="str">
        <f t="shared" si="12"/>
        <v>6-6</v>
      </c>
      <c r="V94" s="3">
        <f t="shared" si="16"/>
        <v>6</v>
      </c>
    </row>
    <row r="95" spans="1:22" s="3" customFormat="1">
      <c r="A95" s="3" t="s">
        <v>447</v>
      </c>
      <c r="B95" s="3" t="s">
        <v>474</v>
      </c>
      <c r="C95" s="3" t="s">
        <v>8</v>
      </c>
      <c r="D95" s="3" t="s">
        <v>744</v>
      </c>
      <c r="E95" s="3">
        <v>1</v>
      </c>
      <c r="F95" s="3">
        <v>1</v>
      </c>
      <c r="G95" s="3">
        <v>0</v>
      </c>
      <c r="H95" s="3">
        <v>0</v>
      </c>
      <c r="M95" s="3" t="s">
        <v>569</v>
      </c>
      <c r="N95" s="3" t="s">
        <v>773</v>
      </c>
      <c r="O95" s="3" t="s">
        <v>773</v>
      </c>
      <c r="P95" s="3">
        <v>12</v>
      </c>
      <c r="Q95" s="3">
        <v>14</v>
      </c>
      <c r="R95" s="3">
        <v>70</v>
      </c>
      <c r="S95" s="3" t="str">
        <f t="shared" si="13"/>
        <v>1-1</v>
      </c>
      <c r="T95" s="3" t="str">
        <f t="shared" si="12"/>
        <v>1-1</v>
      </c>
      <c r="U95" s="3" t="str">
        <f t="shared" si="12"/>
        <v>6-6</v>
      </c>
      <c r="V95" s="3">
        <f t="shared" si="16"/>
        <v>6</v>
      </c>
    </row>
    <row r="96" spans="1:22" s="3" customFormat="1">
      <c r="A96" s="3" t="s">
        <v>47</v>
      </c>
      <c r="B96" s="3" t="s">
        <v>455</v>
      </c>
      <c r="C96" s="3" t="s">
        <v>8</v>
      </c>
      <c r="D96" s="3" t="s">
        <v>750</v>
      </c>
      <c r="E96" s="3">
        <v>1</v>
      </c>
      <c r="F96" s="3">
        <v>1</v>
      </c>
      <c r="G96" s="3">
        <v>0</v>
      </c>
      <c r="H96" s="3">
        <v>0</v>
      </c>
      <c r="M96" s="3" t="s">
        <v>394</v>
      </c>
      <c r="N96" s="3" t="s">
        <v>774</v>
      </c>
      <c r="O96" s="3" t="s">
        <v>774</v>
      </c>
      <c r="P96" s="3">
        <v>12</v>
      </c>
      <c r="Q96" s="3">
        <v>14</v>
      </c>
      <c r="R96" s="3">
        <v>50</v>
      </c>
      <c r="S96" s="3" t="str">
        <f t="shared" si="13"/>
        <v>1-1</v>
      </c>
      <c r="T96" s="3" t="str">
        <f t="shared" si="12"/>
        <v>1-1</v>
      </c>
      <c r="U96" s="3" t="str">
        <f t="shared" si="12"/>
        <v>6-6</v>
      </c>
      <c r="V96" s="3">
        <f t="shared" si="16"/>
        <v>6</v>
      </c>
    </row>
    <row r="97" spans="1:22" s="3" customFormat="1">
      <c r="A97" s="3" t="s">
        <v>48</v>
      </c>
      <c r="B97" s="3" t="s">
        <v>464</v>
      </c>
      <c r="C97" s="3" t="s">
        <v>8</v>
      </c>
      <c r="D97" s="3" t="s">
        <v>176</v>
      </c>
      <c r="E97" s="3">
        <v>1</v>
      </c>
      <c r="F97" s="3">
        <v>1</v>
      </c>
      <c r="G97" s="3">
        <v>0</v>
      </c>
      <c r="H97" s="3">
        <v>0</v>
      </c>
      <c r="N97" s="3" t="s">
        <v>775</v>
      </c>
      <c r="O97" s="3" t="s">
        <v>775</v>
      </c>
      <c r="P97" s="3">
        <v>12</v>
      </c>
      <c r="Q97" s="3">
        <v>14</v>
      </c>
      <c r="S97" s="3" t="str">
        <f t="shared" si="13"/>
        <v>1-1</v>
      </c>
      <c r="T97" s="3" t="str">
        <f t="shared" si="12"/>
        <v>1-1</v>
      </c>
      <c r="U97" s="3" t="str">
        <f t="shared" si="12"/>
        <v>6-6</v>
      </c>
      <c r="V97" s="3">
        <f t="shared" si="16"/>
        <v>6</v>
      </c>
    </row>
    <row r="98" spans="1:22" s="3" customFormat="1">
      <c r="A98" s="3" t="s">
        <v>49</v>
      </c>
      <c r="B98" s="3" t="s">
        <v>462</v>
      </c>
      <c r="C98" s="3" t="s">
        <v>8</v>
      </c>
      <c r="D98" s="3" t="s">
        <v>177</v>
      </c>
      <c r="E98" s="3">
        <v>1</v>
      </c>
      <c r="F98" s="3">
        <v>1</v>
      </c>
      <c r="G98" s="3">
        <v>0</v>
      </c>
      <c r="H98" s="3">
        <v>0</v>
      </c>
      <c r="N98" s="3" t="s">
        <v>776</v>
      </c>
      <c r="O98" s="3" t="s">
        <v>776</v>
      </c>
      <c r="P98" s="3">
        <v>12</v>
      </c>
      <c r="Q98" s="3">
        <v>14</v>
      </c>
      <c r="S98" s="3" t="str">
        <f t="shared" si="13"/>
        <v>1-1</v>
      </c>
      <c r="T98" s="3" t="str">
        <f t="shared" si="12"/>
        <v>1-1</v>
      </c>
      <c r="U98" s="3" t="str">
        <f t="shared" si="12"/>
        <v>6-6</v>
      </c>
      <c r="V98" s="3">
        <f t="shared" si="16"/>
        <v>6</v>
      </c>
    </row>
    <row r="99" spans="1:22" s="3" customFormat="1">
      <c r="A99" s="3" t="s">
        <v>756</v>
      </c>
      <c r="B99" s="3" t="s">
        <v>757</v>
      </c>
      <c r="C99" s="3" t="s">
        <v>8</v>
      </c>
      <c r="D99" s="3" t="s">
        <v>178</v>
      </c>
      <c r="E99" s="3">
        <v>1</v>
      </c>
      <c r="F99" s="3">
        <v>1</v>
      </c>
      <c r="G99" s="3">
        <v>0</v>
      </c>
      <c r="H99" s="3">
        <v>0</v>
      </c>
      <c r="N99" s="3" t="s">
        <v>777</v>
      </c>
      <c r="O99" s="3" t="s">
        <v>777</v>
      </c>
      <c r="P99" s="3">
        <v>12</v>
      </c>
      <c r="Q99" s="3">
        <v>14</v>
      </c>
      <c r="R99" s="3">
        <v>50</v>
      </c>
      <c r="S99" s="3" t="str">
        <f t="shared" si="13"/>
        <v>1-1</v>
      </c>
      <c r="T99" s="3" t="str">
        <f t="shared" si="12"/>
        <v>1-1</v>
      </c>
      <c r="U99" s="3" t="str">
        <f t="shared" si="12"/>
        <v>6-6</v>
      </c>
      <c r="V99" s="3">
        <f t="shared" ref="V99" si="19">_xlfn.LET(_xlpm.a,($E99+U$3*$G99)*(1+U$2),_xlpm.b,($F99+U$3*$H99)*(1+U$2),_xlpm.a/2+_xlpm.b/2)</f>
        <v>6</v>
      </c>
    </row>
    <row r="100" spans="1:22" s="3" customFormat="1">
      <c r="A100" s="3" t="s">
        <v>448</v>
      </c>
      <c r="B100" s="3" t="s">
        <v>463</v>
      </c>
      <c r="C100" s="3" t="s">
        <v>8</v>
      </c>
      <c r="D100" s="3" t="s">
        <v>745</v>
      </c>
      <c r="E100" s="3">
        <v>1</v>
      </c>
      <c r="F100" s="3">
        <v>1</v>
      </c>
      <c r="G100" s="3">
        <v>0</v>
      </c>
      <c r="H100" s="3">
        <v>0</v>
      </c>
      <c r="M100" s="3" t="s">
        <v>569</v>
      </c>
      <c r="N100" s="3" t="s">
        <v>775</v>
      </c>
      <c r="O100" s="3" t="s">
        <v>775</v>
      </c>
      <c r="P100" s="3">
        <v>12</v>
      </c>
      <c r="Q100" s="3">
        <v>14</v>
      </c>
      <c r="R100" s="3">
        <v>70</v>
      </c>
      <c r="S100" s="3" t="str">
        <f t="shared" si="13"/>
        <v>1-1</v>
      </c>
      <c r="T100" s="3" t="str">
        <f t="shared" si="12"/>
        <v>1-1</v>
      </c>
      <c r="U100" s="3" t="str">
        <f t="shared" si="12"/>
        <v>6-6</v>
      </c>
      <c r="V100" s="3">
        <f t="shared" si="16"/>
        <v>6</v>
      </c>
    </row>
    <row r="101" spans="1:22" s="3" customFormat="1">
      <c r="A101" s="3" t="s">
        <v>449</v>
      </c>
      <c r="B101" s="3" t="s">
        <v>461</v>
      </c>
      <c r="C101" s="3" t="s">
        <v>8</v>
      </c>
      <c r="D101" s="3" t="s">
        <v>746</v>
      </c>
      <c r="E101" s="3">
        <v>1</v>
      </c>
      <c r="F101" s="3">
        <v>1</v>
      </c>
      <c r="G101" s="3">
        <v>0</v>
      </c>
      <c r="H101" s="3">
        <v>0</v>
      </c>
      <c r="M101" s="3" t="s">
        <v>569</v>
      </c>
      <c r="N101" s="3" t="s">
        <v>776</v>
      </c>
      <c r="O101" s="3" t="s">
        <v>776</v>
      </c>
      <c r="P101" s="3">
        <v>12</v>
      </c>
      <c r="Q101" s="3">
        <v>14</v>
      </c>
      <c r="R101" s="3">
        <v>70</v>
      </c>
      <c r="S101" s="3" t="str">
        <f t="shared" si="13"/>
        <v>1-1</v>
      </c>
      <c r="T101" s="3" t="str">
        <f t="shared" si="12"/>
        <v>1-1</v>
      </c>
      <c r="U101" s="3" t="str">
        <f t="shared" si="12"/>
        <v>6-6</v>
      </c>
      <c r="V101" s="3">
        <f t="shared" si="16"/>
        <v>6</v>
      </c>
    </row>
    <row r="102" spans="1:22" s="3" customFormat="1">
      <c r="A102" s="3" t="s">
        <v>50</v>
      </c>
      <c r="B102" s="3" t="s">
        <v>456</v>
      </c>
      <c r="C102" s="3" t="s">
        <v>8</v>
      </c>
      <c r="D102" s="3" t="s">
        <v>751</v>
      </c>
      <c r="E102" s="3">
        <v>1</v>
      </c>
      <c r="F102" s="3">
        <v>1</v>
      </c>
      <c r="G102" s="3">
        <v>0</v>
      </c>
      <c r="H102" s="3">
        <v>0</v>
      </c>
      <c r="M102" s="3" t="s">
        <v>394</v>
      </c>
      <c r="N102" s="3" t="s">
        <v>777</v>
      </c>
      <c r="O102" s="3" t="s">
        <v>777</v>
      </c>
      <c r="P102" s="3">
        <v>12</v>
      </c>
      <c r="Q102" s="3">
        <v>14</v>
      </c>
      <c r="R102" s="3">
        <v>50</v>
      </c>
      <c r="S102" s="3" t="str">
        <f t="shared" si="13"/>
        <v>1-1</v>
      </c>
      <c r="T102" s="3" t="str">
        <f t="shared" si="12"/>
        <v>1-1</v>
      </c>
      <c r="U102" s="3" t="str">
        <f t="shared" si="12"/>
        <v>6-6</v>
      </c>
      <c r="V102" s="3">
        <f t="shared" si="16"/>
        <v>6</v>
      </c>
    </row>
    <row r="103" spans="1:22" s="3" customFormat="1">
      <c r="A103" s="3" t="s">
        <v>51</v>
      </c>
      <c r="B103" s="3" t="s">
        <v>465</v>
      </c>
      <c r="C103" s="3" t="s">
        <v>8</v>
      </c>
      <c r="D103" s="3" t="s">
        <v>179</v>
      </c>
      <c r="E103" s="3">
        <v>1</v>
      </c>
      <c r="F103" s="3">
        <v>1</v>
      </c>
      <c r="G103" s="3">
        <v>0</v>
      </c>
      <c r="H103" s="3">
        <v>0</v>
      </c>
      <c r="M103" s="3" t="s">
        <v>394</v>
      </c>
      <c r="N103" s="3" t="s">
        <v>778</v>
      </c>
      <c r="O103" s="3" t="s">
        <v>778</v>
      </c>
      <c r="P103" s="3">
        <v>12</v>
      </c>
      <c r="Q103" s="3">
        <v>14</v>
      </c>
      <c r="R103" s="3">
        <v>50</v>
      </c>
      <c r="S103" s="3" t="str">
        <f t="shared" si="13"/>
        <v>1-1</v>
      </c>
      <c r="T103" s="3" t="str">
        <f t="shared" si="12"/>
        <v>1-1</v>
      </c>
      <c r="U103" s="3" t="str">
        <f t="shared" si="12"/>
        <v>6-6</v>
      </c>
      <c r="V103" s="3">
        <f t="shared" si="16"/>
        <v>6</v>
      </c>
    </row>
    <row r="104" spans="1:22" s="3" customFormat="1">
      <c r="A104" s="3" t="s">
        <v>52</v>
      </c>
      <c r="B104" s="3" t="s">
        <v>466</v>
      </c>
      <c r="C104" s="3" t="s">
        <v>8</v>
      </c>
      <c r="D104" s="3" t="s">
        <v>180</v>
      </c>
      <c r="E104" s="3">
        <v>1</v>
      </c>
      <c r="F104" s="3">
        <v>1</v>
      </c>
      <c r="G104" s="3">
        <v>0</v>
      </c>
      <c r="H104" s="3">
        <v>0</v>
      </c>
      <c r="M104" s="3" t="s">
        <v>394</v>
      </c>
      <c r="N104" s="3" t="s">
        <v>779</v>
      </c>
      <c r="O104" s="3" t="s">
        <v>779</v>
      </c>
      <c r="P104" s="3">
        <v>12</v>
      </c>
      <c r="Q104" s="3">
        <v>14</v>
      </c>
      <c r="R104" s="3">
        <v>50</v>
      </c>
      <c r="S104" s="3" t="str">
        <f t="shared" si="13"/>
        <v>1-1</v>
      </c>
      <c r="T104" s="3" t="str">
        <f t="shared" si="12"/>
        <v>1-1</v>
      </c>
      <c r="U104" s="3" t="str">
        <f t="shared" si="12"/>
        <v>6-6</v>
      </c>
      <c r="V104" s="3">
        <f t="shared" si="16"/>
        <v>6</v>
      </c>
    </row>
    <row r="105" spans="1:22" s="3" customFormat="1">
      <c r="A105" s="3" t="s">
        <v>53</v>
      </c>
      <c r="B105" s="3" t="s">
        <v>467</v>
      </c>
      <c r="C105" s="3" t="s">
        <v>8</v>
      </c>
      <c r="D105" s="3" t="s">
        <v>181</v>
      </c>
      <c r="E105" s="3">
        <v>1</v>
      </c>
      <c r="F105" s="3">
        <v>1</v>
      </c>
      <c r="G105" s="3">
        <v>0</v>
      </c>
      <c r="H105" s="3">
        <v>0</v>
      </c>
      <c r="M105" s="3" t="s">
        <v>394</v>
      </c>
      <c r="N105" s="3" t="s">
        <v>780</v>
      </c>
      <c r="O105" s="3" t="s">
        <v>780</v>
      </c>
      <c r="P105" s="3">
        <v>12</v>
      </c>
      <c r="Q105" s="3">
        <v>14</v>
      </c>
      <c r="R105" s="3">
        <v>50</v>
      </c>
      <c r="S105" s="3" t="str">
        <f t="shared" si="13"/>
        <v>1-1</v>
      </c>
      <c r="T105" s="3" t="str">
        <f t="shared" si="13"/>
        <v>1-1</v>
      </c>
      <c r="U105" s="3" t="str">
        <f t="shared" si="13"/>
        <v>6-6</v>
      </c>
      <c r="V105" s="3">
        <f t="shared" si="16"/>
        <v>6</v>
      </c>
    </row>
    <row r="106" spans="1:22" s="3" customFormat="1">
      <c r="A106" s="3" t="s">
        <v>634</v>
      </c>
      <c r="B106" s="3" t="s">
        <v>451</v>
      </c>
      <c r="C106" s="3" t="s">
        <v>8</v>
      </c>
      <c r="D106" s="3" t="s">
        <v>163</v>
      </c>
      <c r="E106" s="3">
        <v>1</v>
      </c>
      <c r="F106" s="3">
        <v>1</v>
      </c>
      <c r="G106" s="3">
        <v>0</v>
      </c>
      <c r="H106" s="3">
        <v>0.25</v>
      </c>
      <c r="N106" s="3" t="s">
        <v>769</v>
      </c>
      <c r="O106" s="3" t="s">
        <v>769</v>
      </c>
      <c r="P106" s="3">
        <v>25</v>
      </c>
      <c r="Q106" s="3">
        <v>28</v>
      </c>
      <c r="S106" s="3" t="str">
        <f t="shared" si="13"/>
        <v>1-1</v>
      </c>
      <c r="T106" s="3" t="str">
        <f t="shared" si="12"/>
        <v>1-2</v>
      </c>
      <c r="U106" s="3" t="str">
        <f t="shared" si="12"/>
        <v>6-12</v>
      </c>
      <c r="V106" s="3">
        <f t="shared" si="16"/>
        <v>9</v>
      </c>
    </row>
    <row r="107" spans="1:22" s="3" customFormat="1">
      <c r="A107" s="3" t="s">
        <v>635</v>
      </c>
      <c r="B107" s="3" t="s">
        <v>453</v>
      </c>
      <c r="C107" s="3" t="s">
        <v>8</v>
      </c>
      <c r="D107" s="3" t="s">
        <v>164</v>
      </c>
      <c r="E107" s="3">
        <v>1</v>
      </c>
      <c r="F107" s="3">
        <v>1</v>
      </c>
      <c r="G107" s="3">
        <v>0</v>
      </c>
      <c r="H107" s="3">
        <v>0.25</v>
      </c>
      <c r="N107" s="3" t="s">
        <v>770</v>
      </c>
      <c r="O107" s="3" t="s">
        <v>770</v>
      </c>
      <c r="P107" s="3">
        <v>25</v>
      </c>
      <c r="Q107" s="3">
        <v>28</v>
      </c>
      <c r="S107" s="3" t="str">
        <f t="shared" si="13"/>
        <v>1-1</v>
      </c>
      <c r="T107" s="3" t="str">
        <f t="shared" si="12"/>
        <v>1-2</v>
      </c>
      <c r="U107" s="3" t="str">
        <f t="shared" si="12"/>
        <v>6-12</v>
      </c>
      <c r="V107" s="3">
        <f t="shared" si="16"/>
        <v>9</v>
      </c>
    </row>
    <row r="108" spans="1:22" s="3" customFormat="1">
      <c r="A108" s="3" t="s">
        <v>758</v>
      </c>
      <c r="B108" s="3" t="s">
        <v>752</v>
      </c>
      <c r="C108" s="3" t="s">
        <v>8</v>
      </c>
      <c r="D108" s="3" t="s">
        <v>165</v>
      </c>
      <c r="E108" s="3">
        <v>1</v>
      </c>
      <c r="F108" s="3">
        <v>1</v>
      </c>
      <c r="G108" s="3">
        <v>0</v>
      </c>
      <c r="H108" s="3">
        <v>0.25</v>
      </c>
      <c r="N108" s="3" t="s">
        <v>771</v>
      </c>
      <c r="O108" s="3" t="s">
        <v>771</v>
      </c>
      <c r="P108" s="3">
        <v>12</v>
      </c>
      <c r="Q108" s="3">
        <v>14</v>
      </c>
      <c r="R108" s="3">
        <v>50</v>
      </c>
      <c r="S108" s="3" t="str">
        <f t="shared" si="13"/>
        <v>1-1</v>
      </c>
      <c r="T108" s="3" t="str">
        <f t="shared" si="12"/>
        <v>1-2</v>
      </c>
      <c r="U108" s="3" t="str">
        <f t="shared" si="12"/>
        <v>6-12</v>
      </c>
      <c r="V108" s="3">
        <f t="shared" si="16"/>
        <v>9</v>
      </c>
    </row>
    <row r="109" spans="1:22" s="3" customFormat="1">
      <c r="A109" s="3" t="s">
        <v>636</v>
      </c>
      <c r="B109" s="3" t="s">
        <v>450</v>
      </c>
      <c r="C109" s="3" t="s">
        <v>8</v>
      </c>
      <c r="D109" s="3" t="s">
        <v>741</v>
      </c>
      <c r="E109" s="3">
        <v>1</v>
      </c>
      <c r="F109" s="3">
        <v>1</v>
      </c>
      <c r="G109" s="3">
        <v>0</v>
      </c>
      <c r="H109" s="3">
        <v>0.25</v>
      </c>
      <c r="M109" s="3" t="s">
        <v>569</v>
      </c>
      <c r="N109" s="3" t="s">
        <v>769</v>
      </c>
      <c r="O109" s="3" t="s">
        <v>769</v>
      </c>
      <c r="P109" s="3">
        <v>25</v>
      </c>
      <c r="Q109" s="3">
        <v>28</v>
      </c>
      <c r="R109" s="3">
        <v>70</v>
      </c>
      <c r="S109" s="3" t="str">
        <f t="shared" si="13"/>
        <v>1-1</v>
      </c>
      <c r="T109" s="3" t="str">
        <f t="shared" si="12"/>
        <v>1-2</v>
      </c>
      <c r="U109" s="3" t="str">
        <f t="shared" si="12"/>
        <v>6-12</v>
      </c>
      <c r="V109" s="3">
        <f t="shared" si="16"/>
        <v>9</v>
      </c>
    </row>
    <row r="110" spans="1:22" s="3" customFormat="1">
      <c r="A110" s="3" t="s">
        <v>637</v>
      </c>
      <c r="B110" s="3" t="s">
        <v>452</v>
      </c>
      <c r="C110" s="3" t="s">
        <v>8</v>
      </c>
      <c r="D110" s="3" t="s">
        <v>742</v>
      </c>
      <c r="E110" s="3">
        <v>1</v>
      </c>
      <c r="F110" s="3">
        <v>1</v>
      </c>
      <c r="G110" s="3">
        <v>0</v>
      </c>
      <c r="H110" s="3">
        <v>0.25</v>
      </c>
      <c r="M110" s="3" t="s">
        <v>569</v>
      </c>
      <c r="N110" s="3" t="s">
        <v>770</v>
      </c>
      <c r="O110" s="3" t="s">
        <v>770</v>
      </c>
      <c r="P110" s="3">
        <v>25</v>
      </c>
      <c r="Q110" s="3">
        <v>28</v>
      </c>
      <c r="R110" s="3">
        <v>70</v>
      </c>
      <c r="S110" s="3" t="str">
        <f t="shared" si="13"/>
        <v>1-1</v>
      </c>
      <c r="T110" s="3" t="str">
        <f t="shared" si="12"/>
        <v>1-2</v>
      </c>
      <c r="U110" s="3" t="str">
        <f t="shared" si="12"/>
        <v>6-12</v>
      </c>
      <c r="V110" s="3">
        <f t="shared" si="16"/>
        <v>9</v>
      </c>
    </row>
    <row r="111" spans="1:22" s="3" customFormat="1">
      <c r="A111" s="3" t="s">
        <v>638</v>
      </c>
      <c r="B111" s="3" t="s">
        <v>454</v>
      </c>
      <c r="C111" s="3" t="s">
        <v>8</v>
      </c>
      <c r="D111" s="3" t="s">
        <v>749</v>
      </c>
      <c r="E111" s="3">
        <v>1</v>
      </c>
      <c r="F111" s="3">
        <v>1</v>
      </c>
      <c r="G111" s="3">
        <v>0</v>
      </c>
      <c r="H111" s="3">
        <v>0.25</v>
      </c>
      <c r="M111" s="3" t="s">
        <v>394</v>
      </c>
      <c r="N111" s="3" t="s">
        <v>771</v>
      </c>
      <c r="O111" s="3" t="s">
        <v>771</v>
      </c>
      <c r="P111" s="3">
        <v>25</v>
      </c>
      <c r="Q111" s="3">
        <v>28</v>
      </c>
      <c r="R111" s="3">
        <v>50</v>
      </c>
      <c r="S111" s="3" t="str">
        <f t="shared" si="13"/>
        <v>1-1</v>
      </c>
      <c r="T111" s="3" t="str">
        <f t="shared" si="12"/>
        <v>1-2</v>
      </c>
      <c r="U111" s="3" t="str">
        <f t="shared" si="12"/>
        <v>6-12</v>
      </c>
      <c r="V111" s="3">
        <f t="shared" si="16"/>
        <v>9</v>
      </c>
    </row>
    <row r="112" spans="1:22" s="3" customFormat="1">
      <c r="A112" s="3" t="s">
        <v>639</v>
      </c>
      <c r="B112" s="3" t="s">
        <v>460</v>
      </c>
      <c r="C112" s="3" t="s">
        <v>8</v>
      </c>
      <c r="D112" s="3" t="s">
        <v>173</v>
      </c>
      <c r="E112" s="3">
        <v>1</v>
      </c>
      <c r="F112" s="3">
        <v>1</v>
      </c>
      <c r="G112" s="3">
        <v>0</v>
      </c>
      <c r="H112" s="3">
        <v>0.25</v>
      </c>
      <c r="N112" s="3" t="s">
        <v>772</v>
      </c>
      <c r="O112" s="3" t="s">
        <v>772</v>
      </c>
      <c r="P112" s="3">
        <v>25</v>
      </c>
      <c r="Q112" s="3">
        <v>28</v>
      </c>
      <c r="S112" s="3" t="str">
        <f t="shared" si="13"/>
        <v>1-1</v>
      </c>
      <c r="T112" s="3" t="str">
        <f t="shared" si="12"/>
        <v>1-2</v>
      </c>
      <c r="U112" s="3" t="str">
        <f t="shared" si="12"/>
        <v>6-12</v>
      </c>
      <c r="V112" s="3">
        <f t="shared" si="16"/>
        <v>9</v>
      </c>
    </row>
    <row r="113" spans="1:22" s="3" customFormat="1">
      <c r="A113" s="3" t="s">
        <v>640</v>
      </c>
      <c r="B113" s="3" t="s">
        <v>458</v>
      </c>
      <c r="C113" s="3" t="s">
        <v>8</v>
      </c>
      <c r="D113" s="3" t="s">
        <v>174</v>
      </c>
      <c r="E113" s="3">
        <v>1</v>
      </c>
      <c r="F113" s="3">
        <v>1</v>
      </c>
      <c r="G113" s="3">
        <v>0</v>
      </c>
      <c r="H113" s="3">
        <v>0.25</v>
      </c>
      <c r="N113" s="3" t="s">
        <v>773</v>
      </c>
      <c r="O113" s="3" t="s">
        <v>773</v>
      </c>
      <c r="P113" s="3">
        <v>25</v>
      </c>
      <c r="Q113" s="3">
        <v>28</v>
      </c>
      <c r="S113" s="3" t="str">
        <f t="shared" si="13"/>
        <v>1-1</v>
      </c>
      <c r="T113" s="3" t="str">
        <f t="shared" si="12"/>
        <v>1-2</v>
      </c>
      <c r="U113" s="3" t="str">
        <f t="shared" si="12"/>
        <v>6-12</v>
      </c>
      <c r="V113" s="3">
        <f t="shared" si="16"/>
        <v>9</v>
      </c>
    </row>
    <row r="114" spans="1:22" s="3" customFormat="1">
      <c r="A114" s="3" t="s">
        <v>759</v>
      </c>
      <c r="B114" s="3" t="s">
        <v>755</v>
      </c>
      <c r="C114" s="3" t="s">
        <v>8</v>
      </c>
      <c r="D114" s="3" t="s">
        <v>175</v>
      </c>
      <c r="E114" s="3">
        <v>1</v>
      </c>
      <c r="F114" s="3">
        <v>1</v>
      </c>
      <c r="G114" s="3">
        <v>0</v>
      </c>
      <c r="H114" s="3">
        <v>0.25</v>
      </c>
      <c r="N114" s="3" t="s">
        <v>774</v>
      </c>
      <c r="O114" s="3" t="s">
        <v>774</v>
      </c>
      <c r="P114" s="3">
        <v>12</v>
      </c>
      <c r="Q114" s="3">
        <v>14</v>
      </c>
      <c r="R114" s="3">
        <v>50</v>
      </c>
      <c r="S114" s="3" t="str">
        <f t="shared" si="13"/>
        <v>1-1</v>
      </c>
      <c r="T114" s="3" t="str">
        <f t="shared" si="12"/>
        <v>1-2</v>
      </c>
      <c r="U114" s="3" t="str">
        <f t="shared" si="12"/>
        <v>6-12</v>
      </c>
      <c r="V114" s="3">
        <f t="shared" si="16"/>
        <v>9</v>
      </c>
    </row>
    <row r="115" spans="1:22" s="3" customFormat="1">
      <c r="A115" s="3" t="s">
        <v>641</v>
      </c>
      <c r="B115" s="3" t="s">
        <v>459</v>
      </c>
      <c r="C115" s="3" t="s">
        <v>8</v>
      </c>
      <c r="D115" s="3" t="s">
        <v>743</v>
      </c>
      <c r="E115" s="3">
        <v>1</v>
      </c>
      <c r="F115" s="3">
        <v>1</v>
      </c>
      <c r="G115" s="3">
        <v>0</v>
      </c>
      <c r="H115" s="3">
        <v>0.25</v>
      </c>
      <c r="M115" s="3" t="s">
        <v>569</v>
      </c>
      <c r="N115" s="3" t="s">
        <v>772</v>
      </c>
      <c r="O115" s="3" t="s">
        <v>772</v>
      </c>
      <c r="P115" s="3">
        <v>25</v>
      </c>
      <c r="Q115" s="3">
        <v>28</v>
      </c>
      <c r="R115" s="3">
        <v>70</v>
      </c>
      <c r="S115" s="3" t="str">
        <f t="shared" si="13"/>
        <v>1-1</v>
      </c>
      <c r="T115" s="3" t="str">
        <f t="shared" si="12"/>
        <v>1-2</v>
      </c>
      <c r="U115" s="3" t="str">
        <f t="shared" si="12"/>
        <v>6-12</v>
      </c>
      <c r="V115" s="3">
        <f t="shared" si="16"/>
        <v>9</v>
      </c>
    </row>
    <row r="116" spans="1:22" s="3" customFormat="1">
      <c r="A116" s="3" t="s">
        <v>642</v>
      </c>
      <c r="B116" s="3" t="s">
        <v>474</v>
      </c>
      <c r="C116" s="3" t="s">
        <v>8</v>
      </c>
      <c r="D116" s="3" t="s">
        <v>744</v>
      </c>
      <c r="E116" s="3">
        <v>1</v>
      </c>
      <c r="F116" s="3">
        <v>1</v>
      </c>
      <c r="G116" s="3">
        <v>0</v>
      </c>
      <c r="H116" s="3">
        <v>0.25</v>
      </c>
      <c r="M116" s="3" t="s">
        <v>569</v>
      </c>
      <c r="N116" s="3" t="s">
        <v>773</v>
      </c>
      <c r="O116" s="3" t="s">
        <v>773</v>
      </c>
      <c r="P116" s="3">
        <v>25</v>
      </c>
      <c r="Q116" s="3">
        <v>28</v>
      </c>
      <c r="R116" s="3">
        <v>70</v>
      </c>
      <c r="S116" s="3" t="str">
        <f t="shared" si="13"/>
        <v>1-1</v>
      </c>
      <c r="T116" s="3" t="str">
        <f t="shared" si="12"/>
        <v>1-2</v>
      </c>
      <c r="U116" s="3" t="str">
        <f t="shared" si="12"/>
        <v>6-12</v>
      </c>
      <c r="V116" s="3">
        <f t="shared" si="16"/>
        <v>9</v>
      </c>
    </row>
    <row r="117" spans="1:22" s="3" customFormat="1">
      <c r="A117" s="3" t="s">
        <v>643</v>
      </c>
      <c r="B117" s="3" t="s">
        <v>455</v>
      </c>
      <c r="C117" s="3" t="s">
        <v>8</v>
      </c>
      <c r="D117" s="3" t="s">
        <v>750</v>
      </c>
      <c r="E117" s="3">
        <v>1</v>
      </c>
      <c r="F117" s="3">
        <v>1</v>
      </c>
      <c r="G117" s="3">
        <v>0</v>
      </c>
      <c r="H117" s="3">
        <v>0.25</v>
      </c>
      <c r="M117" s="3" t="s">
        <v>394</v>
      </c>
      <c r="N117" s="3" t="s">
        <v>774</v>
      </c>
      <c r="O117" s="3" t="s">
        <v>774</v>
      </c>
      <c r="P117" s="3">
        <v>25</v>
      </c>
      <c r="Q117" s="3">
        <v>28</v>
      </c>
      <c r="R117" s="3">
        <v>50</v>
      </c>
      <c r="S117" s="3" t="str">
        <f t="shared" si="13"/>
        <v>1-1</v>
      </c>
      <c r="T117" s="3" t="str">
        <f t="shared" si="12"/>
        <v>1-2</v>
      </c>
      <c r="U117" s="3" t="str">
        <f t="shared" si="12"/>
        <v>6-12</v>
      </c>
      <c r="V117" s="3">
        <f t="shared" si="16"/>
        <v>9</v>
      </c>
    </row>
    <row r="118" spans="1:22" s="3" customFormat="1">
      <c r="A118" s="3" t="s">
        <v>644</v>
      </c>
      <c r="B118" s="3" t="s">
        <v>464</v>
      </c>
      <c r="C118" s="3" t="s">
        <v>8</v>
      </c>
      <c r="D118" s="3" t="s">
        <v>176</v>
      </c>
      <c r="E118" s="3">
        <v>1</v>
      </c>
      <c r="F118" s="3">
        <v>1</v>
      </c>
      <c r="G118" s="3">
        <v>0</v>
      </c>
      <c r="H118" s="3">
        <v>0.25</v>
      </c>
      <c r="N118" s="3" t="s">
        <v>775</v>
      </c>
      <c r="O118" s="3" t="s">
        <v>775</v>
      </c>
      <c r="P118" s="3">
        <v>25</v>
      </c>
      <c r="Q118" s="3">
        <v>28</v>
      </c>
      <c r="S118" s="3" t="str">
        <f t="shared" si="13"/>
        <v>1-1</v>
      </c>
      <c r="T118" s="3" t="str">
        <f t="shared" si="12"/>
        <v>1-2</v>
      </c>
      <c r="U118" s="3" t="str">
        <f t="shared" si="12"/>
        <v>6-12</v>
      </c>
      <c r="V118" s="3">
        <f t="shared" si="16"/>
        <v>9</v>
      </c>
    </row>
    <row r="119" spans="1:22" s="3" customFormat="1">
      <c r="A119" s="3" t="s">
        <v>645</v>
      </c>
      <c r="B119" s="3" t="s">
        <v>462</v>
      </c>
      <c r="C119" s="3" t="s">
        <v>8</v>
      </c>
      <c r="D119" s="3" t="s">
        <v>177</v>
      </c>
      <c r="E119" s="3">
        <v>1</v>
      </c>
      <c r="F119" s="3">
        <v>1</v>
      </c>
      <c r="G119" s="3">
        <v>0</v>
      </c>
      <c r="H119" s="3">
        <v>0.25</v>
      </c>
      <c r="N119" s="3" t="s">
        <v>776</v>
      </c>
      <c r="O119" s="3" t="s">
        <v>776</v>
      </c>
      <c r="P119" s="3">
        <v>25</v>
      </c>
      <c r="Q119" s="3">
        <v>28</v>
      </c>
      <c r="S119" s="3" t="str">
        <f t="shared" si="13"/>
        <v>1-1</v>
      </c>
      <c r="T119" s="3" t="str">
        <f t="shared" si="12"/>
        <v>1-2</v>
      </c>
      <c r="U119" s="3" t="str">
        <f t="shared" si="12"/>
        <v>6-12</v>
      </c>
      <c r="V119" s="3">
        <f t="shared" si="16"/>
        <v>9</v>
      </c>
    </row>
    <row r="120" spans="1:22" s="3" customFormat="1">
      <c r="A120" s="3" t="s">
        <v>760</v>
      </c>
      <c r="B120" s="3" t="s">
        <v>757</v>
      </c>
      <c r="C120" s="3" t="s">
        <v>8</v>
      </c>
      <c r="D120" s="3" t="s">
        <v>178</v>
      </c>
      <c r="E120" s="3">
        <v>1</v>
      </c>
      <c r="F120" s="3">
        <v>1</v>
      </c>
      <c r="G120" s="3">
        <v>0</v>
      </c>
      <c r="H120" s="3">
        <v>0.25</v>
      </c>
      <c r="N120" s="3" t="s">
        <v>777</v>
      </c>
      <c r="O120" s="3" t="s">
        <v>777</v>
      </c>
      <c r="P120" s="3">
        <v>12</v>
      </c>
      <c r="Q120" s="3">
        <v>14</v>
      </c>
      <c r="R120" s="3">
        <v>50</v>
      </c>
      <c r="S120" s="3" t="str">
        <f t="shared" si="13"/>
        <v>1-1</v>
      </c>
      <c r="T120" s="3" t="str">
        <f t="shared" si="12"/>
        <v>1-2</v>
      </c>
      <c r="U120" s="3" t="str">
        <f t="shared" si="12"/>
        <v>6-12</v>
      </c>
      <c r="V120" s="3">
        <f t="shared" si="16"/>
        <v>9</v>
      </c>
    </row>
    <row r="121" spans="1:22" s="3" customFormat="1">
      <c r="A121" s="3" t="s">
        <v>646</v>
      </c>
      <c r="B121" s="3" t="s">
        <v>463</v>
      </c>
      <c r="C121" s="3" t="s">
        <v>8</v>
      </c>
      <c r="D121" s="3" t="s">
        <v>745</v>
      </c>
      <c r="E121" s="3">
        <v>1</v>
      </c>
      <c r="F121" s="3">
        <v>1</v>
      </c>
      <c r="G121" s="3">
        <v>0</v>
      </c>
      <c r="H121" s="3">
        <v>0.25</v>
      </c>
      <c r="M121" s="3" t="s">
        <v>569</v>
      </c>
      <c r="N121" s="3" t="s">
        <v>775</v>
      </c>
      <c r="O121" s="3" t="s">
        <v>775</v>
      </c>
      <c r="P121" s="3">
        <v>25</v>
      </c>
      <c r="Q121" s="3">
        <v>28</v>
      </c>
      <c r="R121" s="3">
        <v>70</v>
      </c>
      <c r="S121" s="3" t="str">
        <f t="shared" si="13"/>
        <v>1-1</v>
      </c>
      <c r="T121" s="3" t="str">
        <f t="shared" si="12"/>
        <v>1-2</v>
      </c>
      <c r="U121" s="3" t="str">
        <f t="shared" si="12"/>
        <v>6-12</v>
      </c>
      <c r="V121" s="3">
        <f t="shared" si="16"/>
        <v>9</v>
      </c>
    </row>
    <row r="122" spans="1:22" s="3" customFormat="1">
      <c r="A122" s="3" t="s">
        <v>647</v>
      </c>
      <c r="B122" s="3" t="s">
        <v>461</v>
      </c>
      <c r="C122" s="3" t="s">
        <v>8</v>
      </c>
      <c r="D122" s="3" t="s">
        <v>746</v>
      </c>
      <c r="E122" s="3">
        <v>1</v>
      </c>
      <c r="F122" s="3">
        <v>1</v>
      </c>
      <c r="G122" s="3">
        <v>0</v>
      </c>
      <c r="H122" s="3">
        <v>0.25</v>
      </c>
      <c r="M122" s="3" t="s">
        <v>569</v>
      </c>
      <c r="N122" s="3" t="s">
        <v>776</v>
      </c>
      <c r="O122" s="3" t="s">
        <v>776</v>
      </c>
      <c r="P122" s="3">
        <v>25</v>
      </c>
      <c r="Q122" s="3">
        <v>28</v>
      </c>
      <c r="R122" s="3">
        <v>70</v>
      </c>
      <c r="S122" s="3" t="str">
        <f t="shared" si="13"/>
        <v>1-1</v>
      </c>
      <c r="T122" s="3" t="str">
        <f t="shared" si="12"/>
        <v>1-2</v>
      </c>
      <c r="U122" s="3" t="str">
        <f t="shared" si="12"/>
        <v>6-12</v>
      </c>
      <c r="V122" s="3">
        <f t="shared" si="16"/>
        <v>9</v>
      </c>
    </row>
    <row r="123" spans="1:22" s="3" customFormat="1">
      <c r="A123" s="3" t="s">
        <v>648</v>
      </c>
      <c r="B123" s="3" t="s">
        <v>456</v>
      </c>
      <c r="C123" s="3" t="s">
        <v>8</v>
      </c>
      <c r="D123" s="3" t="s">
        <v>751</v>
      </c>
      <c r="E123" s="3">
        <v>1</v>
      </c>
      <c r="F123" s="3">
        <v>1</v>
      </c>
      <c r="G123" s="3">
        <v>0</v>
      </c>
      <c r="H123" s="3">
        <v>0.25</v>
      </c>
      <c r="M123" s="3" t="s">
        <v>394</v>
      </c>
      <c r="N123" s="3" t="s">
        <v>777</v>
      </c>
      <c r="O123" s="3" t="s">
        <v>777</v>
      </c>
      <c r="P123" s="3">
        <v>25</v>
      </c>
      <c r="Q123" s="3">
        <v>28</v>
      </c>
      <c r="R123" s="3">
        <v>50</v>
      </c>
      <c r="S123" s="3" t="str">
        <f t="shared" si="13"/>
        <v>1-1</v>
      </c>
      <c r="T123" s="3" t="str">
        <f t="shared" si="12"/>
        <v>1-2</v>
      </c>
      <c r="U123" s="3" t="str">
        <f t="shared" si="12"/>
        <v>6-12</v>
      </c>
      <c r="V123" s="3">
        <f t="shared" si="16"/>
        <v>9</v>
      </c>
    </row>
    <row r="124" spans="1:22" s="3" customFormat="1">
      <c r="A124" s="3" t="s">
        <v>649</v>
      </c>
      <c r="B124" s="3" t="s">
        <v>465</v>
      </c>
      <c r="C124" s="3" t="s">
        <v>8</v>
      </c>
      <c r="D124" s="3" t="s">
        <v>179</v>
      </c>
      <c r="E124" s="3">
        <v>1</v>
      </c>
      <c r="F124" s="3">
        <v>1</v>
      </c>
      <c r="G124" s="3">
        <v>0</v>
      </c>
      <c r="H124" s="3">
        <v>0.25</v>
      </c>
      <c r="M124" s="3" t="s">
        <v>394</v>
      </c>
      <c r="N124" s="3" t="s">
        <v>778</v>
      </c>
      <c r="O124" s="3" t="s">
        <v>778</v>
      </c>
      <c r="P124" s="3">
        <v>25</v>
      </c>
      <c r="Q124" s="3">
        <v>28</v>
      </c>
      <c r="R124" s="3">
        <v>50</v>
      </c>
      <c r="S124" s="3" t="str">
        <f t="shared" si="13"/>
        <v>1-1</v>
      </c>
      <c r="T124" s="3" t="str">
        <f t="shared" si="12"/>
        <v>1-2</v>
      </c>
      <c r="U124" s="3" t="str">
        <f t="shared" si="12"/>
        <v>6-12</v>
      </c>
      <c r="V124" s="3">
        <f t="shared" si="16"/>
        <v>9</v>
      </c>
    </row>
    <row r="125" spans="1:22" s="3" customFormat="1">
      <c r="A125" s="3" t="s">
        <v>650</v>
      </c>
      <c r="B125" s="3" t="s">
        <v>466</v>
      </c>
      <c r="C125" s="3" t="s">
        <v>8</v>
      </c>
      <c r="D125" s="3" t="s">
        <v>180</v>
      </c>
      <c r="E125" s="3">
        <v>1</v>
      </c>
      <c r="F125" s="3">
        <v>1</v>
      </c>
      <c r="G125" s="3">
        <v>0</v>
      </c>
      <c r="H125" s="3">
        <v>0.25</v>
      </c>
      <c r="M125" s="3" t="s">
        <v>394</v>
      </c>
      <c r="N125" s="3" t="s">
        <v>779</v>
      </c>
      <c r="O125" s="3" t="s">
        <v>779</v>
      </c>
      <c r="P125" s="3">
        <v>25</v>
      </c>
      <c r="Q125" s="3">
        <v>28</v>
      </c>
      <c r="R125" s="3">
        <v>50</v>
      </c>
      <c r="S125" s="3" t="str">
        <f t="shared" si="13"/>
        <v>1-1</v>
      </c>
      <c r="T125" s="3" t="str">
        <f t="shared" si="12"/>
        <v>1-2</v>
      </c>
      <c r="U125" s="3" t="str">
        <f t="shared" si="12"/>
        <v>6-12</v>
      </c>
      <c r="V125" s="3">
        <f t="shared" si="16"/>
        <v>9</v>
      </c>
    </row>
    <row r="126" spans="1:22" s="3" customFormat="1">
      <c r="A126" s="3" t="s">
        <v>651</v>
      </c>
      <c r="B126" s="3" t="s">
        <v>467</v>
      </c>
      <c r="C126" s="3" t="s">
        <v>8</v>
      </c>
      <c r="D126" s="3" t="s">
        <v>181</v>
      </c>
      <c r="E126" s="3">
        <v>1</v>
      </c>
      <c r="F126" s="3">
        <v>1</v>
      </c>
      <c r="G126" s="3">
        <v>0</v>
      </c>
      <c r="H126" s="3">
        <v>0.25</v>
      </c>
      <c r="M126" s="3" t="s">
        <v>394</v>
      </c>
      <c r="N126" s="3" t="s">
        <v>780</v>
      </c>
      <c r="O126" s="3" t="s">
        <v>780</v>
      </c>
      <c r="P126" s="3">
        <v>25</v>
      </c>
      <c r="Q126" s="3">
        <v>28</v>
      </c>
      <c r="R126" s="3">
        <v>50</v>
      </c>
      <c r="S126" s="3" t="str">
        <f t="shared" si="13"/>
        <v>1-1</v>
      </c>
      <c r="T126" s="3" t="str">
        <f t="shared" si="13"/>
        <v>1-2</v>
      </c>
      <c r="U126" s="3" t="str">
        <f t="shared" si="13"/>
        <v>6-12</v>
      </c>
      <c r="V126" s="3">
        <f t="shared" si="16"/>
        <v>9</v>
      </c>
    </row>
    <row r="127" spans="1:22" s="3" customFormat="1">
      <c r="A127" s="3" t="s">
        <v>652</v>
      </c>
      <c r="B127" s="3" t="s">
        <v>451</v>
      </c>
      <c r="C127" s="3" t="s">
        <v>8</v>
      </c>
      <c r="D127" s="3" t="s">
        <v>163</v>
      </c>
      <c r="E127" s="3">
        <v>1</v>
      </c>
      <c r="F127" s="3">
        <v>1</v>
      </c>
      <c r="G127" s="3">
        <v>0</v>
      </c>
      <c r="H127" s="3">
        <v>0.5</v>
      </c>
      <c r="N127" s="3" t="s">
        <v>769</v>
      </c>
      <c r="O127" s="3" t="s">
        <v>769</v>
      </c>
      <c r="P127" s="3">
        <v>31</v>
      </c>
      <c r="Q127" s="3">
        <v>35</v>
      </c>
      <c r="S127" s="3" t="str">
        <f t="shared" si="13"/>
        <v>1-1</v>
      </c>
      <c r="T127" s="3" t="str">
        <f t="shared" si="12"/>
        <v>1-3</v>
      </c>
      <c r="U127" s="3" t="str">
        <f t="shared" si="12"/>
        <v>6-18</v>
      </c>
      <c r="V127" s="3">
        <f t="shared" si="3"/>
        <v>12</v>
      </c>
    </row>
    <row r="128" spans="1:22" s="3" customFormat="1">
      <c r="A128" s="3" t="s">
        <v>653</v>
      </c>
      <c r="B128" s="3" t="s">
        <v>453</v>
      </c>
      <c r="C128" s="3" t="s">
        <v>8</v>
      </c>
      <c r="D128" s="3" t="s">
        <v>164</v>
      </c>
      <c r="E128" s="3">
        <v>1</v>
      </c>
      <c r="F128" s="3">
        <v>1</v>
      </c>
      <c r="G128" s="3">
        <v>0</v>
      </c>
      <c r="H128" s="3">
        <v>0.5</v>
      </c>
      <c r="N128" s="3" t="s">
        <v>770</v>
      </c>
      <c r="O128" s="3" t="s">
        <v>770</v>
      </c>
      <c r="P128" s="3">
        <v>31</v>
      </c>
      <c r="Q128" s="3">
        <v>35</v>
      </c>
      <c r="S128" s="3" t="str">
        <f t="shared" si="13"/>
        <v>1-1</v>
      </c>
      <c r="T128" s="3" t="str">
        <f t="shared" si="12"/>
        <v>1-3</v>
      </c>
      <c r="U128" s="3" t="str">
        <f t="shared" si="12"/>
        <v>6-18</v>
      </c>
      <c r="V128" s="3">
        <f t="shared" si="3"/>
        <v>12</v>
      </c>
    </row>
    <row r="129" spans="1:22" s="3" customFormat="1">
      <c r="A129" s="3" t="s">
        <v>761</v>
      </c>
      <c r="B129" s="3" t="s">
        <v>752</v>
      </c>
      <c r="C129" s="3" t="s">
        <v>8</v>
      </c>
      <c r="D129" s="3" t="s">
        <v>165</v>
      </c>
      <c r="E129" s="3">
        <v>1</v>
      </c>
      <c r="F129" s="3">
        <v>1</v>
      </c>
      <c r="G129" s="3">
        <v>0</v>
      </c>
      <c r="H129" s="3">
        <v>0.5</v>
      </c>
      <c r="N129" s="3" t="s">
        <v>771</v>
      </c>
      <c r="O129" s="3" t="s">
        <v>771</v>
      </c>
      <c r="P129" s="3">
        <v>12</v>
      </c>
      <c r="Q129" s="3">
        <v>14</v>
      </c>
      <c r="R129" s="3">
        <v>50</v>
      </c>
      <c r="S129" s="3" t="str">
        <f t="shared" si="13"/>
        <v>1-1</v>
      </c>
      <c r="T129" s="3" t="str">
        <f t="shared" si="12"/>
        <v>1-3</v>
      </c>
      <c r="U129" s="3" t="str">
        <f t="shared" si="12"/>
        <v>6-18</v>
      </c>
      <c r="V129" s="3">
        <f t="shared" si="3"/>
        <v>12</v>
      </c>
    </row>
    <row r="130" spans="1:22" s="3" customFormat="1">
      <c r="A130" s="3" t="s">
        <v>654</v>
      </c>
      <c r="B130" s="3" t="s">
        <v>450</v>
      </c>
      <c r="C130" s="3" t="s">
        <v>8</v>
      </c>
      <c r="D130" s="3" t="s">
        <v>741</v>
      </c>
      <c r="E130" s="3">
        <v>1</v>
      </c>
      <c r="F130" s="3">
        <v>1</v>
      </c>
      <c r="G130" s="3">
        <v>0</v>
      </c>
      <c r="H130" s="3">
        <v>0.5</v>
      </c>
      <c r="M130" s="3" t="s">
        <v>569</v>
      </c>
      <c r="N130" s="3" t="s">
        <v>769</v>
      </c>
      <c r="O130" s="3" t="s">
        <v>769</v>
      </c>
      <c r="P130" s="3">
        <v>31</v>
      </c>
      <c r="Q130" s="3">
        <v>35</v>
      </c>
      <c r="R130" s="3">
        <v>70</v>
      </c>
      <c r="S130" s="3" t="str">
        <f t="shared" si="13"/>
        <v>1-1</v>
      </c>
      <c r="T130" s="3" t="str">
        <f t="shared" si="12"/>
        <v>1-3</v>
      </c>
      <c r="U130" s="3" t="str">
        <f t="shared" si="12"/>
        <v>6-18</v>
      </c>
      <c r="V130" s="3">
        <f t="shared" ref="V130:V131" si="20">_xlfn.LET(_xlpm.a,($E130+U$3*$G130)*(1+U$2),_xlpm.b,($F130+U$3*$H130)*(1+U$2),_xlpm.a/2+_xlpm.b/2)</f>
        <v>12</v>
      </c>
    </row>
    <row r="131" spans="1:22" s="3" customFormat="1">
      <c r="A131" s="3" t="s">
        <v>655</v>
      </c>
      <c r="B131" s="3" t="s">
        <v>452</v>
      </c>
      <c r="C131" s="3" t="s">
        <v>8</v>
      </c>
      <c r="D131" s="3" t="s">
        <v>742</v>
      </c>
      <c r="E131" s="3">
        <v>1</v>
      </c>
      <c r="F131" s="3">
        <v>1</v>
      </c>
      <c r="G131" s="3">
        <v>0</v>
      </c>
      <c r="H131" s="3">
        <v>0.5</v>
      </c>
      <c r="M131" s="3" t="s">
        <v>569</v>
      </c>
      <c r="N131" s="3" t="s">
        <v>770</v>
      </c>
      <c r="O131" s="3" t="s">
        <v>770</v>
      </c>
      <c r="P131" s="3">
        <v>31</v>
      </c>
      <c r="Q131" s="3">
        <v>35</v>
      </c>
      <c r="R131" s="3">
        <v>70</v>
      </c>
      <c r="S131" s="3" t="str">
        <f t="shared" si="13"/>
        <v>1-1</v>
      </c>
      <c r="T131" s="3" t="str">
        <f t="shared" si="12"/>
        <v>1-3</v>
      </c>
      <c r="U131" s="3" t="str">
        <f t="shared" si="12"/>
        <v>6-18</v>
      </c>
      <c r="V131" s="3">
        <f t="shared" si="20"/>
        <v>12</v>
      </c>
    </row>
    <row r="132" spans="1:22" s="3" customFormat="1">
      <c r="A132" s="3" t="s">
        <v>656</v>
      </c>
      <c r="B132" s="3" t="s">
        <v>454</v>
      </c>
      <c r="C132" s="3" t="s">
        <v>8</v>
      </c>
      <c r="D132" s="3" t="s">
        <v>749</v>
      </c>
      <c r="E132" s="3">
        <v>1</v>
      </c>
      <c r="F132" s="3">
        <v>1</v>
      </c>
      <c r="G132" s="3">
        <v>0</v>
      </c>
      <c r="H132" s="3">
        <v>0.5</v>
      </c>
      <c r="M132" s="3" t="s">
        <v>394</v>
      </c>
      <c r="N132" s="3" t="s">
        <v>771</v>
      </c>
      <c r="O132" s="3" t="s">
        <v>771</v>
      </c>
      <c r="P132" s="3">
        <v>31</v>
      </c>
      <c r="Q132" s="3">
        <v>35</v>
      </c>
      <c r="R132" s="3">
        <v>50</v>
      </c>
      <c r="S132" s="3" t="str">
        <f t="shared" si="13"/>
        <v>1-1</v>
      </c>
      <c r="T132" s="3" t="str">
        <f t="shared" si="12"/>
        <v>1-3</v>
      </c>
      <c r="U132" s="3" t="str">
        <f t="shared" si="12"/>
        <v>6-18</v>
      </c>
      <c r="V132" s="3">
        <f t="shared" si="3"/>
        <v>12</v>
      </c>
    </row>
    <row r="133" spans="1:22" s="3" customFormat="1">
      <c r="A133" s="3" t="s">
        <v>657</v>
      </c>
      <c r="B133" s="3" t="s">
        <v>460</v>
      </c>
      <c r="C133" s="3" t="s">
        <v>8</v>
      </c>
      <c r="D133" s="3" t="s">
        <v>173</v>
      </c>
      <c r="E133" s="3">
        <v>1</v>
      </c>
      <c r="F133" s="3">
        <v>1</v>
      </c>
      <c r="G133" s="3">
        <v>0</v>
      </c>
      <c r="H133" s="3">
        <v>0.5</v>
      </c>
      <c r="N133" s="3" t="s">
        <v>772</v>
      </c>
      <c r="O133" s="3" t="s">
        <v>772</v>
      </c>
      <c r="P133" s="3">
        <v>31</v>
      </c>
      <c r="Q133" s="3">
        <v>35</v>
      </c>
      <c r="S133" s="3" t="str">
        <f t="shared" si="13"/>
        <v>1-1</v>
      </c>
      <c r="T133" s="3" t="str">
        <f t="shared" si="12"/>
        <v>1-3</v>
      </c>
      <c r="U133" s="3" t="str">
        <f t="shared" si="12"/>
        <v>6-18</v>
      </c>
      <c r="V133" s="3">
        <f t="shared" si="3"/>
        <v>12</v>
      </c>
    </row>
    <row r="134" spans="1:22" s="3" customFormat="1">
      <c r="A134" s="3" t="s">
        <v>658</v>
      </c>
      <c r="B134" s="3" t="s">
        <v>458</v>
      </c>
      <c r="C134" s="3" t="s">
        <v>8</v>
      </c>
      <c r="D134" s="3" t="s">
        <v>174</v>
      </c>
      <c r="E134" s="3">
        <v>1</v>
      </c>
      <c r="F134" s="3">
        <v>1</v>
      </c>
      <c r="G134" s="3">
        <v>0</v>
      </c>
      <c r="H134" s="3">
        <v>0.5</v>
      </c>
      <c r="N134" s="3" t="s">
        <v>773</v>
      </c>
      <c r="O134" s="3" t="s">
        <v>773</v>
      </c>
      <c r="P134" s="3">
        <v>31</v>
      </c>
      <c r="Q134" s="3">
        <v>35</v>
      </c>
      <c r="S134" s="3" t="str">
        <f t="shared" si="13"/>
        <v>1-1</v>
      </c>
      <c r="T134" s="3" t="str">
        <f t="shared" si="12"/>
        <v>1-3</v>
      </c>
      <c r="U134" s="3" t="str">
        <f t="shared" si="12"/>
        <v>6-18</v>
      </c>
      <c r="V134" s="3">
        <f t="shared" si="3"/>
        <v>12</v>
      </c>
    </row>
    <row r="135" spans="1:22" s="3" customFormat="1">
      <c r="A135" s="3" t="s">
        <v>762</v>
      </c>
      <c r="B135" s="3" t="s">
        <v>755</v>
      </c>
      <c r="C135" s="3" t="s">
        <v>8</v>
      </c>
      <c r="D135" s="3" t="s">
        <v>175</v>
      </c>
      <c r="E135" s="3">
        <v>1</v>
      </c>
      <c r="F135" s="3">
        <v>1</v>
      </c>
      <c r="G135" s="3">
        <v>0</v>
      </c>
      <c r="H135" s="3">
        <v>0.5</v>
      </c>
      <c r="N135" s="3" t="s">
        <v>774</v>
      </c>
      <c r="O135" s="3" t="s">
        <v>774</v>
      </c>
      <c r="P135" s="3">
        <v>12</v>
      </c>
      <c r="Q135" s="3">
        <v>14</v>
      </c>
      <c r="R135" s="3">
        <v>50</v>
      </c>
      <c r="S135" s="3" t="str">
        <f t="shared" si="13"/>
        <v>1-1</v>
      </c>
      <c r="T135" s="3" t="str">
        <f t="shared" si="12"/>
        <v>1-3</v>
      </c>
      <c r="U135" s="3" t="str">
        <f t="shared" si="12"/>
        <v>6-18</v>
      </c>
      <c r="V135" s="3">
        <f t="shared" si="3"/>
        <v>12</v>
      </c>
    </row>
    <row r="136" spans="1:22" s="3" customFormat="1">
      <c r="A136" s="3" t="s">
        <v>659</v>
      </c>
      <c r="B136" s="3" t="s">
        <v>459</v>
      </c>
      <c r="C136" s="3" t="s">
        <v>8</v>
      </c>
      <c r="D136" s="3" t="s">
        <v>743</v>
      </c>
      <c r="E136" s="3">
        <v>1</v>
      </c>
      <c r="F136" s="3">
        <v>1</v>
      </c>
      <c r="G136" s="3">
        <v>0</v>
      </c>
      <c r="H136" s="3">
        <v>0.5</v>
      </c>
      <c r="M136" s="3" t="s">
        <v>569</v>
      </c>
      <c r="N136" s="3" t="s">
        <v>772</v>
      </c>
      <c r="O136" s="3" t="s">
        <v>772</v>
      </c>
      <c r="P136" s="3">
        <v>31</v>
      </c>
      <c r="Q136" s="3">
        <v>35</v>
      </c>
      <c r="R136" s="3">
        <v>70</v>
      </c>
      <c r="S136" s="3" t="str">
        <f t="shared" si="13"/>
        <v>1-1</v>
      </c>
      <c r="T136" s="3" t="str">
        <f t="shared" si="12"/>
        <v>1-3</v>
      </c>
      <c r="U136" s="3" t="str">
        <f t="shared" si="12"/>
        <v>6-18</v>
      </c>
      <c r="V136" s="3">
        <f t="shared" ref="V136:V137" si="21">_xlfn.LET(_xlpm.a,($E136+U$3*$G136)*(1+U$2),_xlpm.b,($F136+U$3*$H136)*(1+U$2),_xlpm.a/2+_xlpm.b/2)</f>
        <v>12</v>
      </c>
    </row>
    <row r="137" spans="1:22" s="3" customFormat="1">
      <c r="A137" s="3" t="s">
        <v>660</v>
      </c>
      <c r="B137" s="3" t="s">
        <v>474</v>
      </c>
      <c r="C137" s="3" t="s">
        <v>8</v>
      </c>
      <c r="D137" s="3" t="s">
        <v>744</v>
      </c>
      <c r="E137" s="3">
        <v>1</v>
      </c>
      <c r="F137" s="3">
        <v>1</v>
      </c>
      <c r="G137" s="3">
        <v>0</v>
      </c>
      <c r="H137" s="3">
        <v>0.5</v>
      </c>
      <c r="M137" s="3" t="s">
        <v>569</v>
      </c>
      <c r="N137" s="3" t="s">
        <v>773</v>
      </c>
      <c r="O137" s="3" t="s">
        <v>773</v>
      </c>
      <c r="P137" s="3">
        <v>31</v>
      </c>
      <c r="Q137" s="3">
        <v>35</v>
      </c>
      <c r="R137" s="3">
        <v>70</v>
      </c>
      <c r="S137" s="3" t="str">
        <f t="shared" si="13"/>
        <v>1-1</v>
      </c>
      <c r="T137" s="3" t="str">
        <f t="shared" si="12"/>
        <v>1-3</v>
      </c>
      <c r="U137" s="3" t="str">
        <f t="shared" si="12"/>
        <v>6-18</v>
      </c>
      <c r="V137" s="3">
        <f t="shared" si="21"/>
        <v>12</v>
      </c>
    </row>
    <row r="138" spans="1:22" s="3" customFormat="1">
      <c r="A138" s="3" t="s">
        <v>661</v>
      </c>
      <c r="B138" s="3" t="s">
        <v>455</v>
      </c>
      <c r="C138" s="3" t="s">
        <v>8</v>
      </c>
      <c r="D138" s="3" t="s">
        <v>750</v>
      </c>
      <c r="E138" s="3">
        <v>1</v>
      </c>
      <c r="F138" s="3">
        <v>1</v>
      </c>
      <c r="G138" s="3">
        <v>0</v>
      </c>
      <c r="H138" s="3">
        <v>0.5</v>
      </c>
      <c r="M138" s="3" t="s">
        <v>394</v>
      </c>
      <c r="N138" s="3" t="s">
        <v>774</v>
      </c>
      <c r="O138" s="3" t="s">
        <v>774</v>
      </c>
      <c r="P138" s="3">
        <v>31</v>
      </c>
      <c r="Q138" s="3">
        <v>35</v>
      </c>
      <c r="R138" s="3">
        <v>50</v>
      </c>
      <c r="S138" s="3" t="str">
        <f t="shared" si="13"/>
        <v>1-1</v>
      </c>
      <c r="T138" s="3" t="str">
        <f t="shared" si="12"/>
        <v>1-3</v>
      </c>
      <c r="U138" s="3" t="str">
        <f t="shared" si="12"/>
        <v>6-18</v>
      </c>
      <c r="V138" s="3">
        <f t="shared" si="3"/>
        <v>12</v>
      </c>
    </row>
    <row r="139" spans="1:22" s="3" customFormat="1">
      <c r="A139" s="3" t="s">
        <v>662</v>
      </c>
      <c r="B139" s="3" t="s">
        <v>464</v>
      </c>
      <c r="C139" s="3" t="s">
        <v>8</v>
      </c>
      <c r="D139" s="3" t="s">
        <v>176</v>
      </c>
      <c r="E139" s="3">
        <v>1</v>
      </c>
      <c r="F139" s="3">
        <v>1</v>
      </c>
      <c r="G139" s="3">
        <v>0</v>
      </c>
      <c r="H139" s="3">
        <v>0.5</v>
      </c>
      <c r="N139" s="3" t="s">
        <v>775</v>
      </c>
      <c r="O139" s="3" t="s">
        <v>775</v>
      </c>
      <c r="P139" s="3">
        <v>31</v>
      </c>
      <c r="Q139" s="3">
        <v>35</v>
      </c>
      <c r="S139" s="3" t="str">
        <f t="shared" si="13"/>
        <v>1-1</v>
      </c>
      <c r="T139" s="3" t="str">
        <f t="shared" si="12"/>
        <v>1-3</v>
      </c>
      <c r="U139" s="3" t="str">
        <f t="shared" si="12"/>
        <v>6-18</v>
      </c>
      <c r="V139" s="3">
        <f t="shared" si="3"/>
        <v>12</v>
      </c>
    </row>
    <row r="140" spans="1:22" s="3" customFormat="1">
      <c r="A140" s="3" t="s">
        <v>663</v>
      </c>
      <c r="B140" s="3" t="s">
        <v>462</v>
      </c>
      <c r="C140" s="3" t="s">
        <v>8</v>
      </c>
      <c r="D140" s="3" t="s">
        <v>177</v>
      </c>
      <c r="E140" s="3">
        <v>1</v>
      </c>
      <c r="F140" s="3">
        <v>1</v>
      </c>
      <c r="G140" s="3">
        <v>0</v>
      </c>
      <c r="H140" s="3">
        <v>0.5</v>
      </c>
      <c r="N140" s="3" t="s">
        <v>776</v>
      </c>
      <c r="O140" s="3" t="s">
        <v>776</v>
      </c>
      <c r="P140" s="3">
        <v>31</v>
      </c>
      <c r="Q140" s="3">
        <v>35</v>
      </c>
      <c r="S140" s="3" t="str">
        <f t="shared" si="13"/>
        <v>1-1</v>
      </c>
      <c r="T140" s="3" t="str">
        <f t="shared" si="12"/>
        <v>1-3</v>
      </c>
      <c r="U140" s="3" t="str">
        <f t="shared" si="12"/>
        <v>6-18</v>
      </c>
      <c r="V140" s="3">
        <f t="shared" si="3"/>
        <v>12</v>
      </c>
    </row>
    <row r="141" spans="1:22" s="3" customFormat="1">
      <c r="A141" s="3" t="s">
        <v>763</v>
      </c>
      <c r="B141" s="3" t="s">
        <v>757</v>
      </c>
      <c r="C141" s="3" t="s">
        <v>8</v>
      </c>
      <c r="D141" s="3" t="s">
        <v>178</v>
      </c>
      <c r="E141" s="3">
        <v>1</v>
      </c>
      <c r="F141" s="3">
        <v>1</v>
      </c>
      <c r="G141" s="3">
        <v>0</v>
      </c>
      <c r="H141" s="3">
        <v>0.5</v>
      </c>
      <c r="N141" s="3" t="s">
        <v>777</v>
      </c>
      <c r="O141" s="3" t="s">
        <v>777</v>
      </c>
      <c r="P141" s="3">
        <v>12</v>
      </c>
      <c r="Q141" s="3">
        <v>14</v>
      </c>
      <c r="R141" s="3">
        <v>50</v>
      </c>
      <c r="S141" s="3" t="str">
        <f t="shared" si="13"/>
        <v>1-1</v>
      </c>
      <c r="T141" s="3" t="str">
        <f t="shared" si="12"/>
        <v>1-3</v>
      </c>
      <c r="U141" s="3" t="str">
        <f t="shared" si="12"/>
        <v>6-18</v>
      </c>
      <c r="V141" s="3">
        <f t="shared" si="3"/>
        <v>12</v>
      </c>
    </row>
    <row r="142" spans="1:22" s="3" customFormat="1">
      <c r="A142" s="3" t="s">
        <v>664</v>
      </c>
      <c r="B142" s="3" t="s">
        <v>463</v>
      </c>
      <c r="C142" s="3" t="s">
        <v>8</v>
      </c>
      <c r="D142" s="3" t="s">
        <v>745</v>
      </c>
      <c r="E142" s="3">
        <v>1</v>
      </c>
      <c r="F142" s="3">
        <v>1</v>
      </c>
      <c r="G142" s="3">
        <v>0</v>
      </c>
      <c r="H142" s="3">
        <v>0.5</v>
      </c>
      <c r="M142" s="3" t="s">
        <v>569</v>
      </c>
      <c r="N142" s="3" t="s">
        <v>775</v>
      </c>
      <c r="O142" s="3" t="s">
        <v>775</v>
      </c>
      <c r="P142" s="3">
        <v>31</v>
      </c>
      <c r="Q142" s="3">
        <v>35</v>
      </c>
      <c r="R142" s="3">
        <v>70</v>
      </c>
      <c r="S142" s="3" t="str">
        <f t="shared" si="13"/>
        <v>1-1</v>
      </c>
      <c r="T142" s="3" t="str">
        <f t="shared" si="12"/>
        <v>1-3</v>
      </c>
      <c r="U142" s="3" t="str">
        <f t="shared" si="12"/>
        <v>6-18</v>
      </c>
      <c r="V142" s="3">
        <f t="shared" ref="V142:V143" si="22">_xlfn.LET(_xlpm.a,($E142+U$3*$G142)*(1+U$2),_xlpm.b,($F142+U$3*$H142)*(1+U$2),_xlpm.a/2+_xlpm.b/2)</f>
        <v>12</v>
      </c>
    </row>
    <row r="143" spans="1:22" s="3" customFormat="1">
      <c r="A143" s="3" t="s">
        <v>665</v>
      </c>
      <c r="B143" s="3" t="s">
        <v>461</v>
      </c>
      <c r="C143" s="3" t="s">
        <v>8</v>
      </c>
      <c r="D143" s="3" t="s">
        <v>746</v>
      </c>
      <c r="E143" s="3">
        <v>1</v>
      </c>
      <c r="F143" s="3">
        <v>1</v>
      </c>
      <c r="G143" s="3">
        <v>0</v>
      </c>
      <c r="H143" s="3">
        <v>0.5</v>
      </c>
      <c r="M143" s="3" t="s">
        <v>569</v>
      </c>
      <c r="N143" s="3" t="s">
        <v>776</v>
      </c>
      <c r="O143" s="3" t="s">
        <v>776</v>
      </c>
      <c r="P143" s="3">
        <v>31</v>
      </c>
      <c r="Q143" s="3">
        <v>35</v>
      </c>
      <c r="R143" s="3">
        <v>70</v>
      </c>
      <c r="S143" s="3" t="str">
        <f t="shared" si="13"/>
        <v>1-1</v>
      </c>
      <c r="T143" s="3" t="str">
        <f t="shared" si="12"/>
        <v>1-3</v>
      </c>
      <c r="U143" s="3" t="str">
        <f t="shared" si="12"/>
        <v>6-18</v>
      </c>
      <c r="V143" s="3">
        <f t="shared" si="22"/>
        <v>12</v>
      </c>
    </row>
    <row r="144" spans="1:22" s="3" customFormat="1">
      <c r="A144" s="3" t="s">
        <v>666</v>
      </c>
      <c r="B144" s="3" t="s">
        <v>456</v>
      </c>
      <c r="C144" s="3" t="s">
        <v>8</v>
      </c>
      <c r="D144" s="3" t="s">
        <v>751</v>
      </c>
      <c r="E144" s="3">
        <v>1</v>
      </c>
      <c r="F144" s="3">
        <v>1</v>
      </c>
      <c r="G144" s="3">
        <v>0</v>
      </c>
      <c r="H144" s="3">
        <v>0.5</v>
      </c>
      <c r="M144" s="3" t="s">
        <v>394</v>
      </c>
      <c r="N144" s="3" t="s">
        <v>777</v>
      </c>
      <c r="O144" s="3" t="s">
        <v>777</v>
      </c>
      <c r="P144" s="3">
        <v>31</v>
      </c>
      <c r="Q144" s="3">
        <v>35</v>
      </c>
      <c r="R144" s="3">
        <v>50</v>
      </c>
      <c r="S144" s="3" t="str">
        <f t="shared" si="13"/>
        <v>1-1</v>
      </c>
      <c r="T144" s="3" t="str">
        <f t="shared" si="12"/>
        <v>1-3</v>
      </c>
      <c r="U144" s="3" t="str">
        <f t="shared" si="12"/>
        <v>6-18</v>
      </c>
      <c r="V144" s="3">
        <f t="shared" si="3"/>
        <v>12</v>
      </c>
    </row>
    <row r="145" spans="1:22" s="3" customFormat="1">
      <c r="A145" s="3" t="s">
        <v>667</v>
      </c>
      <c r="B145" s="3" t="s">
        <v>466</v>
      </c>
      <c r="C145" s="3" t="s">
        <v>8</v>
      </c>
      <c r="D145" s="3" t="s">
        <v>180</v>
      </c>
      <c r="E145" s="3">
        <v>1</v>
      </c>
      <c r="F145" s="3">
        <v>1</v>
      </c>
      <c r="G145" s="3">
        <v>0</v>
      </c>
      <c r="H145" s="3">
        <v>0.5</v>
      </c>
      <c r="M145" s="3" t="s">
        <v>394</v>
      </c>
      <c r="N145" s="3" t="s">
        <v>779</v>
      </c>
      <c r="O145" s="3" t="s">
        <v>779</v>
      </c>
      <c r="P145" s="3">
        <v>31</v>
      </c>
      <c r="Q145" s="3">
        <v>35</v>
      </c>
      <c r="R145" s="3">
        <v>50</v>
      </c>
      <c r="S145" s="3" t="str">
        <f t="shared" si="13"/>
        <v>1-1</v>
      </c>
      <c r="T145" s="3" t="str">
        <f t="shared" si="12"/>
        <v>1-3</v>
      </c>
      <c r="U145" s="3" t="str">
        <f t="shared" si="12"/>
        <v>6-18</v>
      </c>
      <c r="V145" s="3">
        <f t="shared" si="3"/>
        <v>12</v>
      </c>
    </row>
    <row r="146" spans="1:22" s="3" customFormat="1">
      <c r="A146" s="3" t="s">
        <v>668</v>
      </c>
      <c r="B146" s="3" t="s">
        <v>467</v>
      </c>
      <c r="C146" s="3" t="s">
        <v>8</v>
      </c>
      <c r="D146" s="3" t="s">
        <v>181</v>
      </c>
      <c r="E146" s="3">
        <v>1</v>
      </c>
      <c r="F146" s="3">
        <v>1</v>
      </c>
      <c r="G146" s="3">
        <v>0</v>
      </c>
      <c r="H146" s="3">
        <v>0.5</v>
      </c>
      <c r="M146" s="3" t="s">
        <v>394</v>
      </c>
      <c r="N146" s="3" t="s">
        <v>780</v>
      </c>
      <c r="O146" s="3" t="s">
        <v>780</v>
      </c>
      <c r="P146" s="3">
        <v>31</v>
      </c>
      <c r="Q146" s="3">
        <v>35</v>
      </c>
      <c r="R146" s="3">
        <v>50</v>
      </c>
      <c r="S146" s="3" t="str">
        <f t="shared" si="13"/>
        <v>1-1</v>
      </c>
      <c r="T146" s="3" t="str">
        <f t="shared" si="13"/>
        <v>1-3</v>
      </c>
      <c r="U146" s="3" t="str">
        <f t="shared" si="13"/>
        <v>6-18</v>
      </c>
      <c r="V146" s="3">
        <f t="shared" si="3"/>
        <v>12</v>
      </c>
    </row>
    <row r="147" spans="1:22">
      <c r="A147" s="1" t="s">
        <v>37</v>
      </c>
      <c r="B147" s="1" t="s">
        <v>468</v>
      </c>
      <c r="C147" s="1" t="s">
        <v>8</v>
      </c>
      <c r="D147" s="1" t="s">
        <v>182</v>
      </c>
      <c r="E147" s="1">
        <v>3</v>
      </c>
      <c r="F147" s="1">
        <v>10</v>
      </c>
      <c r="G147" s="1">
        <v>1</v>
      </c>
      <c r="H147" s="1">
        <v>7.5</v>
      </c>
      <c r="M147" s="1" t="s">
        <v>861</v>
      </c>
      <c r="R147" s="1">
        <v>100</v>
      </c>
      <c r="S147" s="1" t="str">
        <f t="shared" ref="S147:U169" si="23">_xlfn.LET(_xlpm.a,($E147+S$3*$G147)*(1+S$2),_xlpm.b,($F147+S$3*$H147)*(1+S$2),_xlpm.a&amp;"-"&amp;_xlpm.b)</f>
        <v>3-10</v>
      </c>
      <c r="T147" s="1" t="str">
        <f t="shared" si="23"/>
        <v>7-40</v>
      </c>
      <c r="U147" s="1" t="str">
        <f t="shared" si="23"/>
        <v>42-240</v>
      </c>
      <c r="V147" s="1">
        <f t="shared" ref="V147:V169" si="24">_xlfn.LET(_xlpm.a,($E147+U$3*$G147)*(1+U$2),_xlpm.b,($F147+U$3*$H147)*(1+U$2),_xlpm.a/2+_xlpm.b/2)</f>
        <v>141</v>
      </c>
    </row>
    <row r="148" spans="1:22">
      <c r="A148" s="1" t="s">
        <v>38</v>
      </c>
      <c r="B148" s="1" t="s">
        <v>469</v>
      </c>
      <c r="C148" s="1" t="s">
        <v>8</v>
      </c>
      <c r="D148" s="1" t="s">
        <v>183</v>
      </c>
      <c r="E148" s="1">
        <v>10</v>
      </c>
      <c r="F148" s="1">
        <v>30</v>
      </c>
      <c r="G148" s="1">
        <v>5</v>
      </c>
      <c r="H148" s="1">
        <v>20</v>
      </c>
      <c r="M148" s="1" t="s">
        <v>862</v>
      </c>
      <c r="R148" s="1">
        <v>100</v>
      </c>
      <c r="S148" s="1" t="str">
        <f t="shared" si="23"/>
        <v>10-30</v>
      </c>
      <c r="T148" s="1" t="str">
        <f t="shared" si="23"/>
        <v>30-110</v>
      </c>
      <c r="U148" s="1" t="str">
        <f t="shared" si="23"/>
        <v>180-660</v>
      </c>
      <c r="V148" s="1">
        <f t="shared" si="24"/>
        <v>420</v>
      </c>
    </row>
    <row r="149" spans="1:22">
      <c r="A149" s="1" t="s">
        <v>818</v>
      </c>
      <c r="B149" s="1" t="s">
        <v>819</v>
      </c>
      <c r="C149" s="1" t="s">
        <v>8</v>
      </c>
      <c r="D149" s="1" t="s">
        <v>820</v>
      </c>
      <c r="E149" s="1">
        <v>1</v>
      </c>
      <c r="F149" s="1">
        <v>4</v>
      </c>
      <c r="G149" s="1">
        <v>1</v>
      </c>
      <c r="H149" s="1">
        <v>4</v>
      </c>
      <c r="M149" s="1" t="s">
        <v>866</v>
      </c>
      <c r="R149" s="1">
        <v>100</v>
      </c>
      <c r="S149" s="1" t="str">
        <f t="shared" si="23"/>
        <v>1-4</v>
      </c>
      <c r="T149" s="1" t="str">
        <f t="shared" si="23"/>
        <v>5-20</v>
      </c>
      <c r="U149" s="1" t="str">
        <f t="shared" si="23"/>
        <v>30-120</v>
      </c>
      <c r="V149" s="1">
        <f t="shared" si="24"/>
        <v>75</v>
      </c>
    </row>
    <row r="150" spans="1:22">
      <c r="A150" s="1" t="s">
        <v>843</v>
      </c>
      <c r="B150" s="1" t="s">
        <v>844</v>
      </c>
      <c r="C150" s="1" t="s">
        <v>8</v>
      </c>
      <c r="D150" s="1" t="s">
        <v>845</v>
      </c>
      <c r="E150" s="1">
        <v>1</v>
      </c>
      <c r="F150" s="1">
        <v>2</v>
      </c>
      <c r="G150" s="1">
        <v>0</v>
      </c>
      <c r="H150" s="1">
        <v>2</v>
      </c>
      <c r="M150" s="1" t="s">
        <v>569</v>
      </c>
      <c r="R150" s="1">
        <v>100</v>
      </c>
      <c r="S150" s="1" t="str">
        <f t="shared" si="23"/>
        <v>1-2</v>
      </c>
      <c r="T150" s="1" t="str">
        <f t="shared" si="23"/>
        <v>1-10</v>
      </c>
      <c r="U150" s="1" t="str">
        <f t="shared" si="23"/>
        <v>6-60</v>
      </c>
      <c r="V150" s="1">
        <f t="shared" si="24"/>
        <v>33</v>
      </c>
    </row>
    <row r="151" spans="1:22">
      <c r="A151" s="1" t="s">
        <v>395</v>
      </c>
      <c r="B151" s="1" t="s">
        <v>471</v>
      </c>
      <c r="C151" s="1" t="s">
        <v>8</v>
      </c>
      <c r="D151" s="1" t="s">
        <v>184</v>
      </c>
      <c r="E151" s="1">
        <v>1</v>
      </c>
      <c r="F151" s="1">
        <v>1</v>
      </c>
      <c r="G151" s="1">
        <v>0</v>
      </c>
      <c r="H151" s="1">
        <v>0</v>
      </c>
      <c r="M151" s="1" t="s">
        <v>868</v>
      </c>
      <c r="P151" s="1">
        <v>7</v>
      </c>
      <c r="R151" s="1">
        <v>100</v>
      </c>
      <c r="S151" s="1" t="str">
        <f t="shared" si="23"/>
        <v>1-1</v>
      </c>
      <c r="T151" s="1" t="str">
        <f t="shared" si="23"/>
        <v>1-1</v>
      </c>
      <c r="U151" s="1" t="str">
        <f t="shared" si="23"/>
        <v>6-6</v>
      </c>
      <c r="V151" s="1">
        <f t="shared" si="24"/>
        <v>6</v>
      </c>
    </row>
    <row r="152" spans="1:22">
      <c r="A152" s="1" t="s">
        <v>193</v>
      </c>
      <c r="B152" s="1" t="s">
        <v>470</v>
      </c>
      <c r="C152" s="1" t="s">
        <v>8</v>
      </c>
      <c r="D152" s="1" t="s">
        <v>184</v>
      </c>
      <c r="E152" s="1">
        <v>1</v>
      </c>
      <c r="F152" s="1">
        <v>1</v>
      </c>
      <c r="G152" s="1">
        <v>0</v>
      </c>
      <c r="H152" s="1">
        <v>0.25</v>
      </c>
      <c r="M152" s="1" t="s">
        <v>869</v>
      </c>
      <c r="P152" s="1">
        <v>14</v>
      </c>
      <c r="R152" s="1">
        <v>100</v>
      </c>
      <c r="S152" s="1" t="str">
        <f t="shared" si="23"/>
        <v>1-1</v>
      </c>
      <c r="T152" s="1" t="str">
        <f t="shared" si="23"/>
        <v>1-2</v>
      </c>
      <c r="U152" s="1" t="str">
        <f t="shared" si="23"/>
        <v>6-12</v>
      </c>
      <c r="V152" s="1">
        <f t="shared" si="24"/>
        <v>9</v>
      </c>
    </row>
    <row r="153" spans="1:22">
      <c r="A153" s="1" t="s">
        <v>194</v>
      </c>
      <c r="B153" s="1" t="s">
        <v>472</v>
      </c>
      <c r="C153" s="1" t="s">
        <v>8</v>
      </c>
      <c r="D153" s="1" t="s">
        <v>184</v>
      </c>
      <c r="E153" s="1">
        <v>1</v>
      </c>
      <c r="F153" s="1">
        <v>1</v>
      </c>
      <c r="G153" s="1">
        <v>0</v>
      </c>
      <c r="H153" s="1">
        <v>0.5</v>
      </c>
      <c r="M153" s="1" t="s">
        <v>870</v>
      </c>
      <c r="P153" s="1">
        <v>21</v>
      </c>
      <c r="R153" s="1">
        <v>100</v>
      </c>
      <c r="S153" s="1" t="str">
        <f t="shared" si="23"/>
        <v>1-1</v>
      </c>
      <c r="T153" s="1" t="str">
        <f t="shared" si="23"/>
        <v>1-3</v>
      </c>
      <c r="U153" s="1" t="str">
        <f t="shared" si="23"/>
        <v>6-18</v>
      </c>
      <c r="V153" s="1">
        <f t="shared" si="24"/>
        <v>12</v>
      </c>
    </row>
    <row r="154" spans="1:22">
      <c r="A154" s="1" t="s">
        <v>195</v>
      </c>
      <c r="B154" s="1" t="s">
        <v>473</v>
      </c>
      <c r="C154" s="1" t="s">
        <v>8</v>
      </c>
      <c r="D154" s="1" t="s">
        <v>184</v>
      </c>
      <c r="E154" s="1">
        <v>1</v>
      </c>
      <c r="F154" s="1">
        <v>1</v>
      </c>
      <c r="G154" s="1">
        <v>0</v>
      </c>
      <c r="H154" s="1">
        <v>0.75</v>
      </c>
      <c r="M154" s="1" t="s">
        <v>871</v>
      </c>
      <c r="P154" s="1">
        <v>28</v>
      </c>
      <c r="R154" s="1">
        <v>100</v>
      </c>
      <c r="S154" s="1" t="str">
        <f t="shared" si="23"/>
        <v>1-1</v>
      </c>
      <c r="T154" s="1" t="str">
        <f t="shared" si="23"/>
        <v>1-4</v>
      </c>
      <c r="U154" s="1" t="str">
        <f t="shared" si="23"/>
        <v>6-24</v>
      </c>
      <c r="V154" s="1">
        <f t="shared" si="24"/>
        <v>15</v>
      </c>
    </row>
    <row r="155" spans="1:22">
      <c r="A155" s="1" t="s">
        <v>196</v>
      </c>
      <c r="B155" s="1" t="s">
        <v>457</v>
      </c>
      <c r="C155" s="1" t="s">
        <v>8</v>
      </c>
      <c r="D155" s="1" t="s">
        <v>184</v>
      </c>
      <c r="E155" s="1">
        <v>1</v>
      </c>
      <c r="F155" s="1">
        <v>1</v>
      </c>
      <c r="G155" s="1">
        <v>0</v>
      </c>
      <c r="H155" s="1">
        <v>1</v>
      </c>
      <c r="M155" s="1" t="s">
        <v>872</v>
      </c>
      <c r="P155" s="1">
        <v>35</v>
      </c>
      <c r="R155" s="1">
        <v>100</v>
      </c>
      <c r="S155" s="1" t="str">
        <f t="shared" si="23"/>
        <v>1-1</v>
      </c>
      <c r="T155" s="1" t="str">
        <f t="shared" si="23"/>
        <v>1-5</v>
      </c>
      <c r="U155" s="1" t="str">
        <f t="shared" si="23"/>
        <v>6-30</v>
      </c>
      <c r="V155" s="1">
        <f t="shared" si="24"/>
        <v>18</v>
      </c>
    </row>
    <row r="156" spans="1:22">
      <c r="A156" s="1" t="s">
        <v>90</v>
      </c>
      <c r="B156" s="1" t="s">
        <v>475</v>
      </c>
      <c r="C156" s="1" t="s">
        <v>39</v>
      </c>
      <c r="D156" s="1" t="s">
        <v>185</v>
      </c>
      <c r="E156" s="1">
        <v>1</v>
      </c>
      <c r="F156" s="1">
        <v>1</v>
      </c>
      <c r="G156" s="1">
        <v>0</v>
      </c>
      <c r="H156" s="1">
        <v>0</v>
      </c>
      <c r="S156" s="1" t="str">
        <f t="shared" si="23"/>
        <v>1-1</v>
      </c>
      <c r="T156" s="1" t="str">
        <f t="shared" si="23"/>
        <v>1-1</v>
      </c>
      <c r="U156" s="1" t="str">
        <f t="shared" si="23"/>
        <v>6-6</v>
      </c>
      <c r="V156" s="1">
        <f t="shared" si="24"/>
        <v>6</v>
      </c>
    </row>
    <row r="157" spans="1:22">
      <c r="A157" s="1" t="s">
        <v>91</v>
      </c>
      <c r="B157" s="1" t="s">
        <v>476</v>
      </c>
      <c r="C157" s="1" t="s">
        <v>39</v>
      </c>
      <c r="D157" s="1" t="s">
        <v>186</v>
      </c>
      <c r="E157" s="1">
        <v>5</v>
      </c>
      <c r="F157" s="1">
        <v>10</v>
      </c>
      <c r="G157" s="1">
        <v>0</v>
      </c>
      <c r="H157" s="1">
        <v>5</v>
      </c>
      <c r="M157" s="1" t="s">
        <v>849</v>
      </c>
      <c r="R157" s="1">
        <v>100</v>
      </c>
      <c r="S157" s="1" t="str">
        <f t="shared" si="23"/>
        <v>5-10</v>
      </c>
      <c r="T157" s="1" t="str">
        <f t="shared" si="23"/>
        <v>5-30</v>
      </c>
      <c r="U157" s="1" t="str">
        <f t="shared" si="23"/>
        <v>30-180</v>
      </c>
      <c r="V157" s="1">
        <f t="shared" si="24"/>
        <v>105</v>
      </c>
    </row>
    <row r="158" spans="1:22">
      <c r="A158" s="1" t="s">
        <v>92</v>
      </c>
      <c r="B158" s="1" t="s">
        <v>477</v>
      </c>
      <c r="C158" s="1" t="s">
        <v>39</v>
      </c>
      <c r="D158" s="1" t="s">
        <v>187</v>
      </c>
      <c r="E158" s="1">
        <v>5</v>
      </c>
      <c r="F158" s="1">
        <v>10</v>
      </c>
      <c r="G158" s="1">
        <v>0</v>
      </c>
      <c r="H158" s="1">
        <v>5</v>
      </c>
      <c r="M158" s="1" t="s">
        <v>855</v>
      </c>
      <c r="R158" s="1">
        <v>100</v>
      </c>
      <c r="S158" s="1" t="str">
        <f t="shared" si="23"/>
        <v>5-10</v>
      </c>
      <c r="T158" s="1" t="str">
        <f t="shared" si="23"/>
        <v>5-30</v>
      </c>
      <c r="U158" s="1" t="str">
        <f t="shared" si="23"/>
        <v>30-180</v>
      </c>
      <c r="V158" s="1">
        <f t="shared" si="24"/>
        <v>105</v>
      </c>
    </row>
    <row r="159" spans="1:22">
      <c r="A159" s="1" t="s">
        <v>93</v>
      </c>
      <c r="B159" s="1" t="s">
        <v>478</v>
      </c>
      <c r="C159" s="1" t="s">
        <v>39</v>
      </c>
      <c r="D159" s="1" t="s">
        <v>188</v>
      </c>
      <c r="E159" s="1">
        <v>1</v>
      </c>
      <c r="F159" s="1">
        <v>5</v>
      </c>
      <c r="G159" s="1">
        <v>2</v>
      </c>
      <c r="H159" s="1">
        <v>6</v>
      </c>
      <c r="M159" s="1" t="s">
        <v>849</v>
      </c>
      <c r="R159" s="1">
        <v>100</v>
      </c>
      <c r="S159" s="1" t="str">
        <f t="shared" si="23"/>
        <v>1-5</v>
      </c>
      <c r="T159" s="1" t="str">
        <f t="shared" si="23"/>
        <v>9-29</v>
      </c>
      <c r="U159" s="1" t="str">
        <f t="shared" si="23"/>
        <v>54-174</v>
      </c>
      <c r="V159" s="1">
        <f t="shared" si="24"/>
        <v>114</v>
      </c>
    </row>
    <row r="160" spans="1:22">
      <c r="A160" s="1" t="s">
        <v>94</v>
      </c>
      <c r="B160" s="1" t="s">
        <v>479</v>
      </c>
      <c r="C160" s="1" t="s">
        <v>39</v>
      </c>
      <c r="D160" s="1" t="s">
        <v>189</v>
      </c>
      <c r="E160" s="1">
        <v>2</v>
      </c>
      <c r="F160" s="1">
        <v>7</v>
      </c>
      <c r="G160" s="1">
        <v>3</v>
      </c>
      <c r="H160" s="1">
        <v>10</v>
      </c>
      <c r="M160" s="1" t="s">
        <v>855</v>
      </c>
      <c r="R160" s="1">
        <v>100</v>
      </c>
      <c r="S160" s="1" t="str">
        <f t="shared" si="23"/>
        <v>2-7</v>
      </c>
      <c r="T160" s="1" t="str">
        <f t="shared" si="23"/>
        <v>14-47</v>
      </c>
      <c r="U160" s="1" t="str">
        <f t="shared" si="23"/>
        <v>84-282</v>
      </c>
      <c r="V160" s="1">
        <f t="shared" si="24"/>
        <v>183</v>
      </c>
    </row>
    <row r="161" spans="1:22">
      <c r="A161" s="1" t="s">
        <v>95</v>
      </c>
      <c r="B161" s="1" t="s">
        <v>480</v>
      </c>
      <c r="C161" s="1" t="s">
        <v>39</v>
      </c>
      <c r="D161" s="1" t="s">
        <v>190</v>
      </c>
      <c r="E161" s="1">
        <v>1</v>
      </c>
      <c r="F161" s="1">
        <v>1</v>
      </c>
      <c r="G161" s="1">
        <v>0</v>
      </c>
      <c r="H161" s="1">
        <v>0</v>
      </c>
      <c r="M161" s="1" t="s">
        <v>863</v>
      </c>
      <c r="R161" s="1">
        <v>70</v>
      </c>
      <c r="S161" s="1" t="str">
        <f t="shared" si="23"/>
        <v>1-1</v>
      </c>
      <c r="T161" s="1" t="str">
        <f t="shared" si="23"/>
        <v>1-1</v>
      </c>
      <c r="U161" s="1" t="str">
        <f t="shared" si="23"/>
        <v>6-6</v>
      </c>
      <c r="V161" s="1">
        <f t="shared" si="24"/>
        <v>6</v>
      </c>
    </row>
    <row r="162" spans="1:22">
      <c r="A162" s="1" t="s">
        <v>96</v>
      </c>
      <c r="B162" s="1" t="s">
        <v>481</v>
      </c>
      <c r="C162" s="1" t="s">
        <v>39</v>
      </c>
      <c r="D162" s="1" t="s">
        <v>191</v>
      </c>
      <c r="E162" s="1">
        <v>0.5</v>
      </c>
      <c r="F162" s="1">
        <v>1</v>
      </c>
      <c r="G162" s="1">
        <v>0.12</v>
      </c>
      <c r="H162" s="1">
        <v>0.4</v>
      </c>
      <c r="M162" s="1" t="s">
        <v>873</v>
      </c>
      <c r="R162" s="1">
        <v>100</v>
      </c>
      <c r="S162" s="1" t="str">
        <f t="shared" si="23"/>
        <v>0.5-1</v>
      </c>
      <c r="T162" s="1" t="str">
        <f t="shared" si="23"/>
        <v>0.98-2.6</v>
      </c>
      <c r="U162" s="1" t="str">
        <f t="shared" si="23"/>
        <v>5.88-15.6</v>
      </c>
      <c r="V162" s="1">
        <f t="shared" si="24"/>
        <v>10.74</v>
      </c>
    </row>
    <row r="163" spans="1:22">
      <c r="A163" s="1" t="s">
        <v>97</v>
      </c>
      <c r="B163" s="1" t="s">
        <v>482</v>
      </c>
      <c r="C163" s="1" t="s">
        <v>39</v>
      </c>
      <c r="D163" s="1" t="s">
        <v>192</v>
      </c>
      <c r="E163" s="1">
        <v>0.5</v>
      </c>
      <c r="F163" s="1">
        <v>1</v>
      </c>
      <c r="G163" s="1">
        <v>0.12</v>
      </c>
      <c r="H163" s="1">
        <v>0.4</v>
      </c>
      <c r="M163" s="1" t="s">
        <v>873</v>
      </c>
      <c r="R163" s="1">
        <v>100</v>
      </c>
      <c r="S163" s="1" t="str">
        <f t="shared" si="23"/>
        <v>0.5-1</v>
      </c>
      <c r="T163" s="1" t="str">
        <f t="shared" si="23"/>
        <v>0.98-2.6</v>
      </c>
      <c r="U163" s="1" t="str">
        <f t="shared" si="23"/>
        <v>5.88-15.6</v>
      </c>
      <c r="V163" s="1">
        <f t="shared" si="24"/>
        <v>10.74</v>
      </c>
    </row>
    <row r="164" spans="1:22">
      <c r="A164" s="1" t="s">
        <v>98</v>
      </c>
      <c r="B164" s="1" t="s">
        <v>483</v>
      </c>
      <c r="C164" s="1" t="s">
        <v>39</v>
      </c>
      <c r="D164" s="1" t="s">
        <v>197</v>
      </c>
      <c r="E164" s="1">
        <v>1</v>
      </c>
      <c r="F164" s="1">
        <v>2</v>
      </c>
      <c r="G164" s="1">
        <v>0.1</v>
      </c>
      <c r="H164" s="1">
        <v>1.5</v>
      </c>
      <c r="M164" s="1" t="s">
        <v>547</v>
      </c>
      <c r="R164" s="1">
        <v>100</v>
      </c>
      <c r="S164" s="1" t="str">
        <f t="shared" si="23"/>
        <v>1-2</v>
      </c>
      <c r="T164" s="1" t="str">
        <f t="shared" si="23"/>
        <v>1.4-8</v>
      </c>
      <c r="U164" s="1" t="str">
        <f t="shared" si="23"/>
        <v>8.4-48</v>
      </c>
      <c r="V164" s="1">
        <f t="shared" si="24"/>
        <v>28.2</v>
      </c>
    </row>
    <row r="165" spans="1:22">
      <c r="A165" s="1" t="s">
        <v>99</v>
      </c>
      <c r="B165" s="1" t="s">
        <v>484</v>
      </c>
      <c r="C165" s="1" t="s">
        <v>39</v>
      </c>
      <c r="D165" s="1" t="s">
        <v>198</v>
      </c>
      <c r="E165" s="1">
        <v>20</v>
      </c>
      <c r="F165" s="1">
        <v>40</v>
      </c>
      <c r="G165" s="1">
        <v>5</v>
      </c>
      <c r="H165" s="1">
        <v>50</v>
      </c>
      <c r="M165" s="1" t="s">
        <v>573</v>
      </c>
      <c r="R165" s="1">
        <v>100</v>
      </c>
      <c r="S165" s="1" t="str">
        <f t="shared" si="23"/>
        <v>20-40</v>
      </c>
      <c r="T165" s="1" t="str">
        <f t="shared" si="23"/>
        <v>40-240</v>
      </c>
      <c r="U165" s="1" t="str">
        <f t="shared" si="23"/>
        <v>240-1440</v>
      </c>
      <c r="V165" s="1">
        <f t="shared" si="24"/>
        <v>840</v>
      </c>
    </row>
    <row r="166" spans="1:22">
      <c r="A166" s="1" t="s">
        <v>100</v>
      </c>
      <c r="B166" s="1" t="s">
        <v>485</v>
      </c>
      <c r="C166" s="1" t="s">
        <v>39</v>
      </c>
      <c r="D166" s="1" t="s">
        <v>199</v>
      </c>
      <c r="E166" s="1">
        <v>1</v>
      </c>
      <c r="F166" s="1">
        <v>2</v>
      </c>
      <c r="G166" s="1">
        <v>0.1</v>
      </c>
      <c r="H166" s="1">
        <v>1.5</v>
      </c>
      <c r="M166" s="1" t="s">
        <v>547</v>
      </c>
      <c r="R166" s="1">
        <v>100</v>
      </c>
      <c r="S166" s="1" t="str">
        <f t="shared" si="23"/>
        <v>1-2</v>
      </c>
      <c r="T166" s="1" t="str">
        <f t="shared" si="23"/>
        <v>1.4-8</v>
      </c>
      <c r="U166" s="1" t="str">
        <f t="shared" si="23"/>
        <v>8.4-48</v>
      </c>
      <c r="V166" s="1">
        <f t="shared" si="24"/>
        <v>28.2</v>
      </c>
    </row>
    <row r="167" spans="1:22">
      <c r="A167" s="1" t="s">
        <v>101</v>
      </c>
      <c r="B167" s="1" t="s">
        <v>486</v>
      </c>
      <c r="C167" s="1" t="s">
        <v>39</v>
      </c>
      <c r="D167" s="1" t="s">
        <v>200</v>
      </c>
      <c r="E167" s="1">
        <v>20</v>
      </c>
      <c r="F167" s="1">
        <v>40</v>
      </c>
      <c r="G167" s="1">
        <v>5</v>
      </c>
      <c r="H167" s="1">
        <v>50</v>
      </c>
      <c r="M167" s="1" t="s">
        <v>573</v>
      </c>
      <c r="R167" s="1">
        <v>100</v>
      </c>
      <c r="S167" s="1" t="str">
        <f t="shared" si="23"/>
        <v>20-40</v>
      </c>
      <c r="T167" s="1" t="str">
        <f t="shared" si="23"/>
        <v>40-240</v>
      </c>
      <c r="U167" s="1" t="str">
        <f t="shared" si="23"/>
        <v>240-1440</v>
      </c>
      <c r="V167" s="1">
        <f t="shared" si="24"/>
        <v>840</v>
      </c>
    </row>
    <row r="168" spans="1:22">
      <c r="A168" s="1" t="s">
        <v>839</v>
      </c>
      <c r="B168" s="1" t="s">
        <v>840</v>
      </c>
      <c r="C168" s="1" t="s">
        <v>841</v>
      </c>
      <c r="D168" s="1" t="s">
        <v>842</v>
      </c>
      <c r="E168" s="1">
        <v>1</v>
      </c>
      <c r="F168" s="1">
        <v>2</v>
      </c>
      <c r="G168" s="1">
        <v>0.1</v>
      </c>
      <c r="H168" s="1">
        <v>1.5</v>
      </c>
      <c r="M168" s="1" t="s">
        <v>394</v>
      </c>
      <c r="R168" s="1">
        <v>100</v>
      </c>
      <c r="S168" s="1" t="str">
        <f t="shared" si="23"/>
        <v>1-2</v>
      </c>
      <c r="T168" s="1" t="str">
        <f t="shared" si="23"/>
        <v>1.4-8</v>
      </c>
      <c r="U168" s="1" t="str">
        <f t="shared" si="23"/>
        <v>8.4-48</v>
      </c>
      <c r="V168" s="1">
        <f t="shared" si="24"/>
        <v>28.2</v>
      </c>
    </row>
    <row r="169" spans="1:22">
      <c r="A169" s="1" t="s">
        <v>234</v>
      </c>
      <c r="B169" s="1" t="s">
        <v>487</v>
      </c>
      <c r="C169" s="1" t="s">
        <v>39</v>
      </c>
      <c r="D169" s="1" t="s">
        <v>231</v>
      </c>
      <c r="E169" s="1">
        <v>1</v>
      </c>
      <c r="F169" s="1">
        <v>4</v>
      </c>
      <c r="G169" s="1">
        <v>2</v>
      </c>
      <c r="H169" s="1">
        <v>24</v>
      </c>
      <c r="M169" s="1" t="s">
        <v>853</v>
      </c>
      <c r="R169" s="1">
        <v>100</v>
      </c>
      <c r="S169" s="1" t="str">
        <f t="shared" si="23"/>
        <v>1-4</v>
      </c>
      <c r="T169" s="1" t="str">
        <f t="shared" si="23"/>
        <v>9-100</v>
      </c>
      <c r="U169" s="1" t="str">
        <f t="shared" si="23"/>
        <v>54-600</v>
      </c>
      <c r="V169" s="1">
        <f t="shared" si="24"/>
        <v>327</v>
      </c>
    </row>
    <row r="170" spans="1:22">
      <c r="A170" s="1" t="s">
        <v>571</v>
      </c>
      <c r="B170" s="1" t="s">
        <v>571</v>
      </c>
      <c r="C170" s="1" t="s">
        <v>39</v>
      </c>
      <c r="D170" s="1" t="s">
        <v>231</v>
      </c>
      <c r="E170" s="1">
        <v>100</v>
      </c>
      <c r="F170" s="1">
        <v>100</v>
      </c>
      <c r="G170" s="1">
        <v>0</v>
      </c>
      <c r="H170" s="1">
        <v>0</v>
      </c>
    </row>
    <row r="171" spans="1:22">
      <c r="A171" s="1" t="s">
        <v>235</v>
      </c>
      <c r="B171" s="1" t="s">
        <v>488</v>
      </c>
      <c r="C171" s="1" t="s">
        <v>39</v>
      </c>
      <c r="D171" s="1" t="s">
        <v>232</v>
      </c>
      <c r="E171" s="1">
        <v>1</v>
      </c>
      <c r="F171" s="1">
        <v>4</v>
      </c>
      <c r="G171" s="1">
        <v>2</v>
      </c>
      <c r="H171" s="1">
        <v>24</v>
      </c>
      <c r="M171" s="1" t="s">
        <v>853</v>
      </c>
      <c r="R171" s="1">
        <v>100</v>
      </c>
      <c r="S171" s="1" t="str">
        <f t="shared" ref="S171:U180" si="25">_xlfn.LET(_xlpm.a,($E171+S$3*$G171)*(1+S$2),_xlpm.b,($F171+S$3*$H171)*(1+S$2),_xlpm.a&amp;"-"&amp;_xlpm.b)</f>
        <v>1-4</v>
      </c>
      <c r="T171" s="1" t="str">
        <f t="shared" si="25"/>
        <v>9-100</v>
      </c>
      <c r="U171" s="1" t="str">
        <f t="shared" si="25"/>
        <v>54-600</v>
      </c>
      <c r="V171" s="1">
        <f t="shared" ref="V171:V180" si="26">_xlfn.LET(_xlpm.a,($E171+U$3*$G171)*(1+U$2),_xlpm.b,($F171+U$3*$H171)*(1+U$2),_xlpm.a/2+_xlpm.b/2)</f>
        <v>327</v>
      </c>
    </row>
    <row r="172" spans="1:22">
      <c r="A172" s="1" t="s">
        <v>236</v>
      </c>
      <c r="B172" s="1" t="s">
        <v>489</v>
      </c>
      <c r="C172" s="1" t="s">
        <v>39</v>
      </c>
      <c r="D172" s="1" t="s">
        <v>233</v>
      </c>
      <c r="E172" s="1">
        <v>1</v>
      </c>
      <c r="F172" s="1">
        <v>4</v>
      </c>
      <c r="G172" s="1">
        <v>2</v>
      </c>
      <c r="H172" s="1">
        <v>24</v>
      </c>
      <c r="M172" s="1" t="s">
        <v>853</v>
      </c>
      <c r="R172" s="1">
        <v>100</v>
      </c>
      <c r="S172" s="1" t="str">
        <f t="shared" si="25"/>
        <v>1-4</v>
      </c>
      <c r="T172" s="1" t="str">
        <f t="shared" si="25"/>
        <v>9-100</v>
      </c>
      <c r="U172" s="1" t="str">
        <f t="shared" si="25"/>
        <v>54-600</v>
      </c>
      <c r="V172" s="1">
        <f t="shared" si="26"/>
        <v>327</v>
      </c>
    </row>
    <row r="173" spans="1:22">
      <c r="A173" s="1" t="s">
        <v>237</v>
      </c>
      <c r="B173" s="1" t="s">
        <v>490</v>
      </c>
      <c r="C173" s="1" t="s">
        <v>39</v>
      </c>
      <c r="D173" s="1" t="s">
        <v>238</v>
      </c>
      <c r="E173" s="1">
        <v>1</v>
      </c>
      <c r="F173" s="1">
        <v>4</v>
      </c>
      <c r="G173" s="1">
        <v>2</v>
      </c>
      <c r="H173" s="1">
        <v>24</v>
      </c>
      <c r="M173" s="1" t="s">
        <v>853</v>
      </c>
      <c r="R173" s="1">
        <v>100</v>
      </c>
      <c r="S173" s="1" t="str">
        <f t="shared" si="25"/>
        <v>1-4</v>
      </c>
      <c r="T173" s="1" t="str">
        <f t="shared" si="25"/>
        <v>9-100</v>
      </c>
      <c r="U173" s="1" t="str">
        <f t="shared" si="25"/>
        <v>54-600</v>
      </c>
      <c r="V173" s="1">
        <f t="shared" si="26"/>
        <v>327</v>
      </c>
    </row>
    <row r="174" spans="1:22">
      <c r="A174" s="1" t="s">
        <v>570</v>
      </c>
      <c r="B174" s="1" t="s">
        <v>570</v>
      </c>
      <c r="C174" s="1" t="s">
        <v>39</v>
      </c>
      <c r="D174" s="1" t="s">
        <v>238</v>
      </c>
      <c r="E174" s="1">
        <v>100</v>
      </c>
      <c r="F174" s="1">
        <v>100</v>
      </c>
      <c r="G174" s="1">
        <v>0</v>
      </c>
      <c r="H174" s="1">
        <v>0</v>
      </c>
      <c r="S174" s="1" t="str">
        <f t="shared" si="25"/>
        <v>100-100</v>
      </c>
      <c r="T174" s="1" t="str">
        <f t="shared" si="25"/>
        <v>100-100</v>
      </c>
      <c r="U174" s="1" t="str">
        <f t="shared" si="25"/>
        <v>600-600</v>
      </c>
      <c r="V174" s="1">
        <f t="shared" si="26"/>
        <v>600</v>
      </c>
    </row>
    <row r="175" spans="1:22">
      <c r="A175" s="1" t="s">
        <v>102</v>
      </c>
      <c r="B175" s="1" t="s">
        <v>491</v>
      </c>
      <c r="C175" s="1" t="s">
        <v>39</v>
      </c>
      <c r="D175" s="1" t="s">
        <v>201</v>
      </c>
      <c r="E175" s="1">
        <v>0.5</v>
      </c>
      <c r="F175" s="1">
        <v>1</v>
      </c>
      <c r="G175" s="1">
        <v>0.5</v>
      </c>
      <c r="H175" s="1">
        <v>1</v>
      </c>
      <c r="M175" s="1" t="s">
        <v>854</v>
      </c>
      <c r="P175" s="1">
        <v>12</v>
      </c>
      <c r="R175" s="1">
        <v>100</v>
      </c>
      <c r="S175" s="1" t="str">
        <f t="shared" si="25"/>
        <v>0.5-1</v>
      </c>
      <c r="T175" s="1" t="str">
        <f t="shared" si="25"/>
        <v>2.5-5</v>
      </c>
      <c r="U175" s="1" t="str">
        <f t="shared" si="25"/>
        <v>15-30</v>
      </c>
      <c r="V175" s="1">
        <f t="shared" si="26"/>
        <v>22.5</v>
      </c>
    </row>
    <row r="176" spans="1:22">
      <c r="A176" s="1" t="s">
        <v>103</v>
      </c>
      <c r="B176" s="1" t="s">
        <v>492</v>
      </c>
      <c r="C176" s="1" t="s">
        <v>39</v>
      </c>
      <c r="D176" s="1" t="s">
        <v>202</v>
      </c>
      <c r="E176" s="1">
        <v>0.5</v>
      </c>
      <c r="F176" s="1">
        <v>1</v>
      </c>
      <c r="G176" s="1">
        <v>0.5</v>
      </c>
      <c r="H176" s="1">
        <v>1</v>
      </c>
      <c r="M176" s="1" t="s">
        <v>854</v>
      </c>
      <c r="P176" s="1">
        <v>12</v>
      </c>
      <c r="R176" s="1">
        <v>100</v>
      </c>
      <c r="S176" s="1" t="str">
        <f t="shared" si="25"/>
        <v>0.5-1</v>
      </c>
      <c r="T176" s="1" t="str">
        <f t="shared" si="25"/>
        <v>2.5-5</v>
      </c>
      <c r="U176" s="1" t="str">
        <f t="shared" si="25"/>
        <v>15-30</v>
      </c>
      <c r="V176" s="1">
        <f t="shared" si="26"/>
        <v>22.5</v>
      </c>
    </row>
    <row r="177" spans="1:22">
      <c r="A177" s="1" t="s">
        <v>821</v>
      </c>
      <c r="B177" s="1" t="s">
        <v>822</v>
      </c>
      <c r="C177" s="1" t="s">
        <v>39</v>
      </c>
      <c r="D177" s="1" t="s">
        <v>823</v>
      </c>
      <c r="E177" s="1">
        <v>1</v>
      </c>
      <c r="F177" s="1">
        <v>3</v>
      </c>
      <c r="G177" s="1">
        <v>1</v>
      </c>
      <c r="H177" s="1">
        <v>3</v>
      </c>
      <c r="M177" s="1" t="s">
        <v>865</v>
      </c>
      <c r="R177" s="1">
        <v>100</v>
      </c>
      <c r="S177" s="1" t="str">
        <f t="shared" si="25"/>
        <v>1-3</v>
      </c>
      <c r="T177" s="1" t="str">
        <f t="shared" si="25"/>
        <v>5-15</v>
      </c>
      <c r="U177" s="1" t="str">
        <f t="shared" si="25"/>
        <v>30-90</v>
      </c>
      <c r="V177" s="1">
        <f t="shared" si="26"/>
        <v>60</v>
      </c>
    </row>
    <row r="178" spans="1:22">
      <c r="A178" s="1" t="s">
        <v>833</v>
      </c>
      <c r="B178" s="1" t="s">
        <v>835</v>
      </c>
      <c r="C178" s="1" t="s">
        <v>39</v>
      </c>
      <c r="D178" s="1" t="s">
        <v>837</v>
      </c>
      <c r="E178" s="1">
        <v>3</v>
      </c>
      <c r="F178" s="1">
        <v>5</v>
      </c>
      <c r="G178" s="1">
        <v>6</v>
      </c>
      <c r="H178" s="1">
        <v>20</v>
      </c>
      <c r="M178" s="1" t="s">
        <v>857</v>
      </c>
      <c r="S178" s="1" t="str">
        <f t="shared" si="25"/>
        <v>3-5</v>
      </c>
      <c r="T178" s="1" t="str">
        <f t="shared" si="25"/>
        <v>27-85</v>
      </c>
      <c r="U178" s="1" t="str">
        <f t="shared" si="25"/>
        <v>162-510</v>
      </c>
      <c r="V178" s="1">
        <f t="shared" si="26"/>
        <v>336</v>
      </c>
    </row>
    <row r="179" spans="1:22">
      <c r="A179" s="1" t="s">
        <v>834</v>
      </c>
      <c r="B179" s="1" t="s">
        <v>836</v>
      </c>
      <c r="C179" s="1" t="s">
        <v>39</v>
      </c>
      <c r="D179" s="1" t="s">
        <v>838</v>
      </c>
      <c r="E179" s="1">
        <v>3</v>
      </c>
      <c r="F179" s="1">
        <v>5</v>
      </c>
      <c r="G179" s="1">
        <v>6</v>
      </c>
      <c r="H179" s="1">
        <v>20</v>
      </c>
      <c r="M179" s="1" t="s">
        <v>858</v>
      </c>
      <c r="S179" s="1" t="str">
        <f t="shared" si="25"/>
        <v>3-5</v>
      </c>
      <c r="T179" s="1" t="str">
        <f t="shared" si="25"/>
        <v>27-85</v>
      </c>
      <c r="U179" s="1" t="str">
        <f t="shared" si="25"/>
        <v>162-510</v>
      </c>
      <c r="V179" s="1">
        <f t="shared" si="26"/>
        <v>336</v>
      </c>
    </row>
    <row r="180" spans="1:22">
      <c r="A180" s="1" t="s">
        <v>846</v>
      </c>
      <c r="B180" s="1" t="s">
        <v>847</v>
      </c>
      <c r="C180" s="1" t="s">
        <v>39</v>
      </c>
      <c r="D180" s="1" t="s">
        <v>848</v>
      </c>
      <c r="E180" s="1">
        <v>1</v>
      </c>
      <c r="F180" s="1">
        <v>1</v>
      </c>
      <c r="G180" s="1">
        <v>0</v>
      </c>
      <c r="H180" s="1">
        <v>0.5</v>
      </c>
      <c r="M180" s="1" t="s">
        <v>394</v>
      </c>
      <c r="S180" s="1" t="str">
        <f t="shared" si="25"/>
        <v>1-1</v>
      </c>
      <c r="T180" s="1" t="str">
        <f t="shared" si="25"/>
        <v>1-3</v>
      </c>
      <c r="U180" s="1" t="str">
        <f t="shared" si="25"/>
        <v>6-18</v>
      </c>
      <c r="V180" s="1">
        <f t="shared" si="26"/>
        <v>12</v>
      </c>
    </row>
    <row r="181" spans="1:22">
      <c r="A181" s="1" t="s">
        <v>54</v>
      </c>
      <c r="B181" s="1" t="s">
        <v>493</v>
      </c>
      <c r="C181" s="1" t="s">
        <v>39</v>
      </c>
      <c r="D181" s="1" t="s">
        <v>203</v>
      </c>
      <c r="E181" s="1">
        <v>1</v>
      </c>
      <c r="F181" s="1">
        <v>1</v>
      </c>
      <c r="G181" s="1">
        <v>0</v>
      </c>
      <c r="H181" s="1">
        <v>0</v>
      </c>
      <c r="M181" s="1" t="s">
        <v>547</v>
      </c>
      <c r="N181" s="1" t="s">
        <v>781</v>
      </c>
      <c r="O181" s="1" t="s">
        <v>781</v>
      </c>
      <c r="P181" s="1">
        <v>1</v>
      </c>
      <c r="Q181" s="1">
        <v>1</v>
      </c>
      <c r="R181" s="1">
        <v>70</v>
      </c>
      <c r="S181" s="1" t="str">
        <f t="shared" ref="S181:U192" si="27">_xlfn.LET(_xlpm.a,($E181+S$3*$G181)*(1+S$2),_xlpm.b,($F181+S$3*$H181)*(1+S$2),_xlpm.a&amp;"-"&amp;_xlpm.b)</f>
        <v>1-1</v>
      </c>
      <c r="T181" s="1" t="str">
        <f t="shared" si="27"/>
        <v>1-1</v>
      </c>
      <c r="U181" s="1" t="str">
        <f t="shared" si="27"/>
        <v>6-6</v>
      </c>
      <c r="V181" s="1">
        <f t="shared" ref="V181" si="28">_xlfn.LET(_xlpm.a,($E181+U$3*$G181)*(1+U$2),_xlpm.b,($F181+U$3*$H181)*(1+U$2),_xlpm.a/2+_xlpm.b/2)</f>
        <v>6</v>
      </c>
    </row>
    <row r="182" spans="1:22">
      <c r="A182" s="1" t="s">
        <v>55</v>
      </c>
      <c r="B182" s="1" t="s">
        <v>494</v>
      </c>
      <c r="C182" s="1" t="s">
        <v>39</v>
      </c>
      <c r="D182" s="1" t="s">
        <v>204</v>
      </c>
      <c r="E182" s="1">
        <v>1</v>
      </c>
      <c r="F182" s="1">
        <v>1</v>
      </c>
      <c r="G182" s="1">
        <v>0</v>
      </c>
      <c r="H182" s="1">
        <v>0</v>
      </c>
      <c r="M182" s="1" t="s">
        <v>573</v>
      </c>
      <c r="N182" s="1" t="s">
        <v>782</v>
      </c>
      <c r="O182" s="1" t="s">
        <v>782</v>
      </c>
      <c r="P182" s="1">
        <v>6</v>
      </c>
      <c r="Q182" s="1">
        <v>7</v>
      </c>
      <c r="R182" s="1">
        <v>70</v>
      </c>
      <c r="S182" s="1" t="str">
        <f t="shared" si="27"/>
        <v>1-1</v>
      </c>
      <c r="T182" s="1" t="str">
        <f t="shared" si="27"/>
        <v>1-1</v>
      </c>
      <c r="U182" s="1" t="str">
        <f t="shared" si="27"/>
        <v>6-6</v>
      </c>
      <c r="V182" s="1">
        <f t="shared" ref="V182:V217" si="29">_xlfn.LET(_xlpm.a,($E182+U$3*$G182)*(1+U$2),_xlpm.b,($F182+U$3*$H182)*(1+U$2),_xlpm.a/2+_xlpm.b/2)</f>
        <v>6</v>
      </c>
    </row>
    <row r="183" spans="1:22">
      <c r="A183" s="1" t="s">
        <v>56</v>
      </c>
      <c r="B183" s="1" t="s">
        <v>495</v>
      </c>
      <c r="C183" s="1" t="s">
        <v>39</v>
      </c>
      <c r="D183" s="1" t="s">
        <v>205</v>
      </c>
      <c r="E183" s="1">
        <v>1</v>
      </c>
      <c r="F183" s="1">
        <v>1</v>
      </c>
      <c r="G183" s="1">
        <v>0</v>
      </c>
      <c r="H183" s="1">
        <v>0</v>
      </c>
      <c r="M183" s="1" t="s">
        <v>547</v>
      </c>
      <c r="N183" s="1" t="s">
        <v>783</v>
      </c>
      <c r="O183" s="1" t="s">
        <v>783</v>
      </c>
      <c r="P183" s="1">
        <v>12</v>
      </c>
      <c r="Q183" s="1">
        <v>14</v>
      </c>
      <c r="R183" s="1">
        <v>70</v>
      </c>
      <c r="S183" s="1" t="str">
        <f t="shared" si="27"/>
        <v>1-1</v>
      </c>
      <c r="T183" s="1" t="str">
        <f t="shared" si="27"/>
        <v>1-1</v>
      </c>
      <c r="U183" s="1" t="str">
        <f t="shared" si="27"/>
        <v>6-6</v>
      </c>
      <c r="V183" s="1">
        <f t="shared" si="29"/>
        <v>6</v>
      </c>
    </row>
    <row r="184" spans="1:22">
      <c r="A184" s="1" t="s">
        <v>57</v>
      </c>
      <c r="B184" s="1" t="s">
        <v>496</v>
      </c>
      <c r="C184" s="1" t="s">
        <v>39</v>
      </c>
      <c r="D184" s="1" t="s">
        <v>206</v>
      </c>
      <c r="E184" s="1">
        <v>1</v>
      </c>
      <c r="F184" s="1">
        <v>1</v>
      </c>
      <c r="G184" s="1">
        <v>0</v>
      </c>
      <c r="H184" s="1">
        <v>0</v>
      </c>
      <c r="M184" s="1" t="s">
        <v>547</v>
      </c>
      <c r="N184" s="1" t="s">
        <v>784</v>
      </c>
      <c r="O184" s="1" t="s">
        <v>784</v>
      </c>
      <c r="P184" s="1">
        <v>19</v>
      </c>
      <c r="Q184" s="1">
        <v>21</v>
      </c>
      <c r="R184" s="1">
        <v>70</v>
      </c>
      <c r="S184" s="1" t="str">
        <f t="shared" si="27"/>
        <v>1-1</v>
      </c>
      <c r="T184" s="1" t="str">
        <f t="shared" si="27"/>
        <v>1-1</v>
      </c>
      <c r="U184" s="1" t="str">
        <f t="shared" si="27"/>
        <v>6-6</v>
      </c>
      <c r="V184" s="1">
        <f t="shared" si="29"/>
        <v>6</v>
      </c>
    </row>
    <row r="185" spans="1:22">
      <c r="A185" s="1" t="s">
        <v>58</v>
      </c>
      <c r="B185" s="1" t="s">
        <v>497</v>
      </c>
      <c r="C185" s="1" t="s">
        <v>39</v>
      </c>
      <c r="D185" s="1" t="s">
        <v>207</v>
      </c>
      <c r="E185" s="1">
        <v>1</v>
      </c>
      <c r="F185" s="1">
        <v>1</v>
      </c>
      <c r="G185" s="1">
        <v>0</v>
      </c>
      <c r="H185" s="1">
        <v>0</v>
      </c>
      <c r="M185" s="1" t="s">
        <v>547</v>
      </c>
      <c r="N185" s="1" t="s">
        <v>785</v>
      </c>
      <c r="O185" s="1" t="s">
        <v>785</v>
      </c>
      <c r="P185" s="1">
        <v>25</v>
      </c>
      <c r="Q185" s="1">
        <v>28</v>
      </c>
      <c r="R185" s="1">
        <v>70</v>
      </c>
      <c r="S185" s="1" t="str">
        <f t="shared" si="27"/>
        <v>1-1</v>
      </c>
      <c r="T185" s="1" t="str">
        <f t="shared" si="27"/>
        <v>1-1</v>
      </c>
      <c r="U185" s="1" t="str">
        <f t="shared" si="27"/>
        <v>6-6</v>
      </c>
      <c r="V185" s="1">
        <f t="shared" si="29"/>
        <v>6</v>
      </c>
    </row>
    <row r="186" spans="1:22">
      <c r="A186" s="1" t="s">
        <v>59</v>
      </c>
      <c r="B186" s="1" t="s">
        <v>498</v>
      </c>
      <c r="C186" s="1" t="s">
        <v>39</v>
      </c>
      <c r="D186" s="1" t="s">
        <v>208</v>
      </c>
      <c r="E186" s="1">
        <v>1</v>
      </c>
      <c r="F186" s="1">
        <v>1</v>
      </c>
      <c r="G186" s="1">
        <v>0</v>
      </c>
      <c r="H186" s="1">
        <v>0</v>
      </c>
      <c r="M186" s="1" t="s">
        <v>547</v>
      </c>
      <c r="N186" s="1" t="s">
        <v>786</v>
      </c>
      <c r="O186" s="1" t="s">
        <v>786</v>
      </c>
      <c r="P186" s="1">
        <v>31</v>
      </c>
      <c r="Q186" s="1">
        <v>35</v>
      </c>
      <c r="R186" s="1">
        <v>70</v>
      </c>
      <c r="S186" s="1" t="str">
        <f t="shared" si="27"/>
        <v>1-1</v>
      </c>
      <c r="T186" s="1" t="str">
        <f t="shared" si="27"/>
        <v>1-1</v>
      </c>
      <c r="U186" s="1" t="str">
        <f t="shared" si="27"/>
        <v>6-6</v>
      </c>
      <c r="V186" s="1">
        <f t="shared" si="29"/>
        <v>6</v>
      </c>
    </row>
    <row r="187" spans="1:22">
      <c r="A187" s="1" t="s">
        <v>60</v>
      </c>
      <c r="B187" s="1" t="s">
        <v>499</v>
      </c>
      <c r="C187" s="1" t="s">
        <v>39</v>
      </c>
      <c r="D187" s="1" t="s">
        <v>209</v>
      </c>
      <c r="E187" s="1">
        <v>1</v>
      </c>
      <c r="F187" s="1">
        <v>1</v>
      </c>
      <c r="G187" s="1">
        <v>0</v>
      </c>
      <c r="H187" s="1">
        <v>0</v>
      </c>
      <c r="M187" s="1" t="s">
        <v>547</v>
      </c>
      <c r="N187" s="1" t="s">
        <v>787</v>
      </c>
      <c r="O187" s="1" t="s">
        <v>787</v>
      </c>
      <c r="P187" s="1">
        <v>1</v>
      </c>
      <c r="Q187" s="1">
        <v>1</v>
      </c>
      <c r="R187" s="1">
        <v>70</v>
      </c>
      <c r="S187" s="1" t="str">
        <f t="shared" si="27"/>
        <v>1-1</v>
      </c>
      <c r="T187" s="1" t="str">
        <f t="shared" si="27"/>
        <v>1-1</v>
      </c>
      <c r="U187" s="1" t="str">
        <f t="shared" si="27"/>
        <v>6-6</v>
      </c>
      <c r="V187" s="1">
        <f t="shared" si="29"/>
        <v>6</v>
      </c>
    </row>
    <row r="188" spans="1:22">
      <c r="A188" s="1" t="s">
        <v>61</v>
      </c>
      <c r="B188" s="1" t="s">
        <v>500</v>
      </c>
      <c r="C188" s="1" t="s">
        <v>39</v>
      </c>
      <c r="D188" s="1" t="s">
        <v>210</v>
      </c>
      <c r="E188" s="1">
        <v>1</v>
      </c>
      <c r="F188" s="1">
        <v>1</v>
      </c>
      <c r="G188" s="1">
        <v>0</v>
      </c>
      <c r="H188" s="1">
        <v>0</v>
      </c>
      <c r="M188" s="1" t="s">
        <v>573</v>
      </c>
      <c r="N188" s="1" t="s">
        <v>788</v>
      </c>
      <c r="O188" s="1" t="s">
        <v>788</v>
      </c>
      <c r="P188" s="1">
        <v>6</v>
      </c>
      <c r="Q188" s="1">
        <v>7</v>
      </c>
      <c r="R188" s="1">
        <v>70</v>
      </c>
      <c r="S188" s="1" t="str">
        <f t="shared" si="27"/>
        <v>1-1</v>
      </c>
      <c r="T188" s="1" t="str">
        <f t="shared" si="27"/>
        <v>1-1</v>
      </c>
      <c r="U188" s="1" t="str">
        <f t="shared" si="27"/>
        <v>6-6</v>
      </c>
      <c r="V188" s="1">
        <f t="shared" si="29"/>
        <v>6</v>
      </c>
    </row>
    <row r="189" spans="1:22">
      <c r="A189" s="1" t="s">
        <v>62</v>
      </c>
      <c r="B189" s="1" t="s">
        <v>501</v>
      </c>
      <c r="C189" s="1" t="s">
        <v>39</v>
      </c>
      <c r="D189" s="1" t="s">
        <v>211</v>
      </c>
      <c r="E189" s="1">
        <v>1</v>
      </c>
      <c r="F189" s="1">
        <v>1</v>
      </c>
      <c r="G189" s="1">
        <v>0</v>
      </c>
      <c r="H189" s="1">
        <v>0</v>
      </c>
      <c r="M189" s="1" t="s">
        <v>547</v>
      </c>
      <c r="N189" s="1" t="s">
        <v>789</v>
      </c>
      <c r="O189" s="1" t="s">
        <v>789</v>
      </c>
      <c r="P189" s="1">
        <v>12</v>
      </c>
      <c r="Q189" s="1">
        <v>14</v>
      </c>
      <c r="R189" s="1">
        <v>70</v>
      </c>
      <c r="S189" s="1" t="str">
        <f t="shared" si="27"/>
        <v>1-1</v>
      </c>
      <c r="T189" s="1" t="str">
        <f t="shared" si="27"/>
        <v>1-1</v>
      </c>
      <c r="U189" s="1" t="str">
        <f t="shared" si="27"/>
        <v>6-6</v>
      </c>
      <c r="V189" s="1">
        <f t="shared" si="29"/>
        <v>6</v>
      </c>
    </row>
    <row r="190" spans="1:22">
      <c r="A190" s="1" t="s">
        <v>63</v>
      </c>
      <c r="B190" s="1" t="s">
        <v>502</v>
      </c>
      <c r="C190" s="1" t="s">
        <v>39</v>
      </c>
      <c r="D190" s="1" t="s">
        <v>212</v>
      </c>
      <c r="E190" s="1">
        <v>1</v>
      </c>
      <c r="F190" s="1">
        <v>1</v>
      </c>
      <c r="G190" s="1">
        <v>0</v>
      </c>
      <c r="H190" s="1">
        <v>0</v>
      </c>
      <c r="M190" s="1" t="s">
        <v>547</v>
      </c>
      <c r="N190" s="1" t="s">
        <v>790</v>
      </c>
      <c r="O190" s="1" t="s">
        <v>790</v>
      </c>
      <c r="P190" s="1">
        <v>19</v>
      </c>
      <c r="Q190" s="1">
        <v>21</v>
      </c>
      <c r="R190" s="1">
        <v>70</v>
      </c>
      <c r="S190" s="1" t="str">
        <f t="shared" si="27"/>
        <v>1-1</v>
      </c>
      <c r="T190" s="1" t="str">
        <f t="shared" si="27"/>
        <v>1-1</v>
      </c>
      <c r="U190" s="1" t="str">
        <f t="shared" si="27"/>
        <v>6-6</v>
      </c>
      <c r="V190" s="1">
        <f t="shared" si="29"/>
        <v>6</v>
      </c>
    </row>
    <row r="191" spans="1:22">
      <c r="A191" s="1" t="s">
        <v>64</v>
      </c>
      <c r="B191" s="1" t="s">
        <v>503</v>
      </c>
      <c r="C191" s="1" t="s">
        <v>39</v>
      </c>
      <c r="D191" s="1" t="s">
        <v>213</v>
      </c>
      <c r="E191" s="1">
        <v>1</v>
      </c>
      <c r="F191" s="1">
        <v>1</v>
      </c>
      <c r="G191" s="1">
        <v>0</v>
      </c>
      <c r="H191" s="1">
        <v>0</v>
      </c>
      <c r="M191" s="1" t="s">
        <v>547</v>
      </c>
      <c r="N191" s="1" t="s">
        <v>791</v>
      </c>
      <c r="O191" s="1" t="s">
        <v>791</v>
      </c>
      <c r="P191" s="1">
        <v>25</v>
      </c>
      <c r="Q191" s="1">
        <v>28</v>
      </c>
      <c r="R191" s="1">
        <v>70</v>
      </c>
      <c r="S191" s="1" t="str">
        <f t="shared" si="27"/>
        <v>1-1</v>
      </c>
      <c r="T191" s="1" t="str">
        <f t="shared" si="27"/>
        <v>1-1</v>
      </c>
      <c r="U191" s="1" t="str">
        <f t="shared" si="27"/>
        <v>6-6</v>
      </c>
      <c r="V191" s="1">
        <f t="shared" si="29"/>
        <v>6</v>
      </c>
    </row>
    <row r="192" spans="1:22">
      <c r="A192" s="1" t="s">
        <v>65</v>
      </c>
      <c r="B192" s="1" t="s">
        <v>504</v>
      </c>
      <c r="C192" s="1" t="s">
        <v>39</v>
      </c>
      <c r="D192" s="1" t="s">
        <v>214</v>
      </c>
      <c r="E192" s="1">
        <v>1</v>
      </c>
      <c r="F192" s="1">
        <v>1</v>
      </c>
      <c r="G192" s="1">
        <v>0</v>
      </c>
      <c r="H192" s="1">
        <v>0</v>
      </c>
      <c r="M192" s="1" t="s">
        <v>547</v>
      </c>
      <c r="N192" s="1" t="s">
        <v>792</v>
      </c>
      <c r="O192" s="1" t="s">
        <v>792</v>
      </c>
      <c r="P192" s="1">
        <v>31</v>
      </c>
      <c r="Q192" s="1">
        <v>35</v>
      </c>
      <c r="R192" s="1">
        <v>70</v>
      </c>
      <c r="S192" s="1" t="str">
        <f t="shared" si="27"/>
        <v>1-1</v>
      </c>
      <c r="T192" s="1" t="str">
        <f t="shared" si="27"/>
        <v>1-1</v>
      </c>
      <c r="U192" s="1" t="str">
        <f t="shared" si="27"/>
        <v>6-6</v>
      </c>
      <c r="V192" s="1">
        <f t="shared" si="29"/>
        <v>6</v>
      </c>
    </row>
    <row r="193" spans="1:22">
      <c r="A193" s="1" t="s">
        <v>66</v>
      </c>
      <c r="B193" s="1" t="s">
        <v>505</v>
      </c>
      <c r="C193" s="1" t="s">
        <v>39</v>
      </c>
      <c r="D193" s="1" t="s">
        <v>215</v>
      </c>
      <c r="E193" s="1">
        <v>1</v>
      </c>
      <c r="F193" s="1">
        <v>1</v>
      </c>
      <c r="G193" s="1">
        <v>0</v>
      </c>
      <c r="H193" s="1">
        <v>0</v>
      </c>
      <c r="M193" s="1" t="s">
        <v>547</v>
      </c>
      <c r="N193" s="1" t="s">
        <v>793</v>
      </c>
      <c r="O193" s="1" t="s">
        <v>793</v>
      </c>
      <c r="P193" s="1">
        <v>1</v>
      </c>
      <c r="Q193" s="1">
        <v>1</v>
      </c>
      <c r="R193" s="1">
        <v>70</v>
      </c>
      <c r="S193" s="1" t="str">
        <f t="shared" ref="S193:U326" si="30">_xlfn.LET(_xlpm.a,($E193+S$3*$G193)*(1+S$2),_xlpm.b,($F193+S$3*$H193)*(1+S$2),_xlpm.a&amp;"-"&amp;_xlpm.b)</f>
        <v>1-1</v>
      </c>
      <c r="T193" s="1" t="str">
        <f t="shared" si="30"/>
        <v>1-1</v>
      </c>
      <c r="U193" s="1" t="str">
        <f t="shared" si="30"/>
        <v>6-6</v>
      </c>
      <c r="V193" s="1">
        <f t="shared" si="29"/>
        <v>6</v>
      </c>
    </row>
    <row r="194" spans="1:22">
      <c r="A194" s="1" t="s">
        <v>67</v>
      </c>
      <c r="B194" s="1" t="s">
        <v>506</v>
      </c>
      <c r="C194" s="1" t="s">
        <v>39</v>
      </c>
      <c r="D194" s="1" t="s">
        <v>216</v>
      </c>
      <c r="E194" s="1">
        <v>1</v>
      </c>
      <c r="F194" s="1">
        <v>1</v>
      </c>
      <c r="G194" s="1">
        <v>0</v>
      </c>
      <c r="H194" s="1">
        <v>0</v>
      </c>
      <c r="M194" s="1" t="s">
        <v>573</v>
      </c>
      <c r="N194" s="1" t="s">
        <v>794</v>
      </c>
      <c r="O194" s="1" t="s">
        <v>794</v>
      </c>
      <c r="P194" s="1">
        <v>6</v>
      </c>
      <c r="Q194" s="1">
        <v>7</v>
      </c>
      <c r="R194" s="1">
        <v>70</v>
      </c>
      <c r="S194" s="1" t="str">
        <f t="shared" si="30"/>
        <v>1-1</v>
      </c>
      <c r="T194" s="1" t="str">
        <f t="shared" si="30"/>
        <v>1-1</v>
      </c>
      <c r="U194" s="1" t="str">
        <f t="shared" si="30"/>
        <v>6-6</v>
      </c>
      <c r="V194" s="1">
        <f t="shared" si="29"/>
        <v>6</v>
      </c>
    </row>
    <row r="195" spans="1:22">
      <c r="A195" s="1" t="s">
        <v>68</v>
      </c>
      <c r="B195" s="1" t="s">
        <v>507</v>
      </c>
      <c r="C195" s="1" t="s">
        <v>39</v>
      </c>
      <c r="D195" s="1" t="s">
        <v>217</v>
      </c>
      <c r="E195" s="1">
        <v>1</v>
      </c>
      <c r="F195" s="1">
        <v>1</v>
      </c>
      <c r="G195" s="1">
        <v>0</v>
      </c>
      <c r="H195" s="1">
        <v>0</v>
      </c>
      <c r="M195" s="1" t="s">
        <v>547</v>
      </c>
      <c r="N195" s="1" t="s">
        <v>795</v>
      </c>
      <c r="O195" s="1" t="s">
        <v>795</v>
      </c>
      <c r="P195" s="1">
        <v>12</v>
      </c>
      <c r="Q195" s="1">
        <v>14</v>
      </c>
      <c r="R195" s="1">
        <v>70</v>
      </c>
      <c r="S195" s="1" t="str">
        <f t="shared" si="30"/>
        <v>1-1</v>
      </c>
      <c r="T195" s="1" t="str">
        <f t="shared" si="30"/>
        <v>1-1</v>
      </c>
      <c r="U195" s="1" t="str">
        <f t="shared" si="30"/>
        <v>6-6</v>
      </c>
      <c r="V195" s="1">
        <f t="shared" si="29"/>
        <v>6</v>
      </c>
    </row>
    <row r="196" spans="1:22">
      <c r="A196" s="1" t="s">
        <v>69</v>
      </c>
      <c r="B196" s="1" t="s">
        <v>508</v>
      </c>
      <c r="C196" s="1" t="s">
        <v>39</v>
      </c>
      <c r="D196" s="1" t="s">
        <v>218</v>
      </c>
      <c r="E196" s="1">
        <v>1</v>
      </c>
      <c r="F196" s="1">
        <v>1</v>
      </c>
      <c r="G196" s="1">
        <v>0</v>
      </c>
      <c r="H196" s="1">
        <v>0</v>
      </c>
      <c r="M196" s="1" t="s">
        <v>547</v>
      </c>
      <c r="N196" s="1" t="s">
        <v>796</v>
      </c>
      <c r="O196" s="1" t="s">
        <v>796</v>
      </c>
      <c r="P196" s="1">
        <v>19</v>
      </c>
      <c r="Q196" s="1">
        <v>21</v>
      </c>
      <c r="R196" s="1">
        <v>70</v>
      </c>
      <c r="S196" s="1" t="str">
        <f t="shared" si="30"/>
        <v>1-1</v>
      </c>
      <c r="T196" s="1" t="str">
        <f t="shared" si="30"/>
        <v>1-1</v>
      </c>
      <c r="U196" s="1" t="str">
        <f t="shared" si="30"/>
        <v>6-6</v>
      </c>
      <c r="V196" s="1">
        <f t="shared" si="29"/>
        <v>6</v>
      </c>
    </row>
    <row r="197" spans="1:22">
      <c r="A197" s="1" t="s">
        <v>70</v>
      </c>
      <c r="B197" s="1" t="s">
        <v>509</v>
      </c>
      <c r="C197" s="1" t="s">
        <v>39</v>
      </c>
      <c r="D197" s="1" t="s">
        <v>219</v>
      </c>
      <c r="E197" s="1">
        <v>1</v>
      </c>
      <c r="F197" s="1">
        <v>1</v>
      </c>
      <c r="G197" s="1">
        <v>0</v>
      </c>
      <c r="H197" s="1">
        <v>0</v>
      </c>
      <c r="M197" s="1" t="s">
        <v>547</v>
      </c>
      <c r="N197" s="1" t="s">
        <v>797</v>
      </c>
      <c r="O197" s="1" t="s">
        <v>797</v>
      </c>
      <c r="P197" s="1">
        <v>25</v>
      </c>
      <c r="Q197" s="1">
        <v>28</v>
      </c>
      <c r="R197" s="1">
        <v>70</v>
      </c>
      <c r="S197" s="1" t="str">
        <f t="shared" si="30"/>
        <v>1-1</v>
      </c>
      <c r="T197" s="1" t="str">
        <f t="shared" si="30"/>
        <v>1-1</v>
      </c>
      <c r="U197" s="1" t="str">
        <f t="shared" si="30"/>
        <v>6-6</v>
      </c>
      <c r="V197" s="1">
        <f t="shared" si="29"/>
        <v>6</v>
      </c>
    </row>
    <row r="198" spans="1:22">
      <c r="A198" s="1" t="s">
        <v>71</v>
      </c>
      <c r="B198" s="1" t="s">
        <v>510</v>
      </c>
      <c r="C198" s="1" t="s">
        <v>39</v>
      </c>
      <c r="D198" s="1" t="s">
        <v>220</v>
      </c>
      <c r="E198" s="1">
        <v>1</v>
      </c>
      <c r="F198" s="1">
        <v>1</v>
      </c>
      <c r="G198" s="1">
        <v>0</v>
      </c>
      <c r="H198" s="1">
        <v>0</v>
      </c>
      <c r="M198" s="1" t="s">
        <v>547</v>
      </c>
      <c r="N198" s="1" t="s">
        <v>798</v>
      </c>
      <c r="O198" s="1" t="s">
        <v>798</v>
      </c>
      <c r="P198" s="1">
        <v>31</v>
      </c>
      <c r="Q198" s="1">
        <v>35</v>
      </c>
      <c r="R198" s="1">
        <v>70</v>
      </c>
      <c r="S198" s="1" t="str">
        <f t="shared" si="30"/>
        <v>1-1</v>
      </c>
      <c r="T198" s="1" t="str">
        <f t="shared" si="30"/>
        <v>1-1</v>
      </c>
      <c r="U198" s="1" t="str">
        <f t="shared" si="30"/>
        <v>6-6</v>
      </c>
      <c r="V198" s="1">
        <f t="shared" si="29"/>
        <v>6</v>
      </c>
    </row>
    <row r="199" spans="1:22">
      <c r="A199" s="1" t="s">
        <v>72</v>
      </c>
      <c r="B199" s="1" t="s">
        <v>511</v>
      </c>
      <c r="C199" s="1" t="s">
        <v>39</v>
      </c>
      <c r="D199" s="1" t="s">
        <v>221</v>
      </c>
      <c r="E199" s="1">
        <v>1</v>
      </c>
      <c r="F199" s="1">
        <v>1</v>
      </c>
      <c r="G199" s="1">
        <v>0</v>
      </c>
      <c r="H199" s="1">
        <v>0</v>
      </c>
      <c r="M199" s="1" t="s">
        <v>547</v>
      </c>
      <c r="N199" s="1" t="s">
        <v>799</v>
      </c>
      <c r="O199" s="1" t="s">
        <v>799</v>
      </c>
      <c r="P199" s="1">
        <v>1</v>
      </c>
      <c r="Q199" s="1">
        <v>1</v>
      </c>
      <c r="R199" s="1">
        <v>70</v>
      </c>
      <c r="S199" s="1" t="str">
        <f t="shared" si="30"/>
        <v>1-1</v>
      </c>
      <c r="T199" s="1" t="str">
        <f t="shared" si="30"/>
        <v>1-1</v>
      </c>
      <c r="U199" s="1" t="str">
        <f t="shared" si="30"/>
        <v>6-6</v>
      </c>
      <c r="V199" s="1">
        <f t="shared" si="29"/>
        <v>6</v>
      </c>
    </row>
    <row r="200" spans="1:22">
      <c r="A200" s="1" t="s">
        <v>73</v>
      </c>
      <c r="B200" s="1" t="s">
        <v>512</v>
      </c>
      <c r="C200" s="1" t="s">
        <v>39</v>
      </c>
      <c r="D200" s="1" t="s">
        <v>222</v>
      </c>
      <c r="E200" s="1">
        <v>1</v>
      </c>
      <c r="F200" s="1">
        <v>1</v>
      </c>
      <c r="G200" s="1">
        <v>0</v>
      </c>
      <c r="H200" s="1">
        <v>0</v>
      </c>
      <c r="M200" s="1" t="s">
        <v>573</v>
      </c>
      <c r="N200" s="1" t="s">
        <v>800</v>
      </c>
      <c r="O200" s="1" t="s">
        <v>800</v>
      </c>
      <c r="P200" s="1">
        <v>6</v>
      </c>
      <c r="Q200" s="1">
        <v>7</v>
      </c>
      <c r="R200" s="1">
        <v>70</v>
      </c>
      <c r="S200" s="1" t="str">
        <f t="shared" si="30"/>
        <v>1-1</v>
      </c>
      <c r="T200" s="1" t="str">
        <f t="shared" si="30"/>
        <v>1-1</v>
      </c>
      <c r="U200" s="1" t="str">
        <f t="shared" si="30"/>
        <v>6-6</v>
      </c>
      <c r="V200" s="1">
        <f t="shared" si="29"/>
        <v>6</v>
      </c>
    </row>
    <row r="201" spans="1:22">
      <c r="A201" s="1" t="s">
        <v>74</v>
      </c>
      <c r="B201" s="1" t="s">
        <v>517</v>
      </c>
      <c r="C201" s="1" t="s">
        <v>39</v>
      </c>
      <c r="D201" s="1" t="s">
        <v>223</v>
      </c>
      <c r="E201" s="1">
        <v>1</v>
      </c>
      <c r="F201" s="1">
        <v>1</v>
      </c>
      <c r="G201" s="1">
        <v>0</v>
      </c>
      <c r="H201" s="1">
        <v>0</v>
      </c>
      <c r="M201" s="1" t="s">
        <v>547</v>
      </c>
      <c r="N201" s="1" t="s">
        <v>801</v>
      </c>
      <c r="O201" s="1" t="s">
        <v>801</v>
      </c>
      <c r="P201" s="1">
        <v>12</v>
      </c>
      <c r="Q201" s="1">
        <v>14</v>
      </c>
      <c r="R201" s="1">
        <v>70</v>
      </c>
      <c r="S201" s="1" t="str">
        <f t="shared" si="30"/>
        <v>1-1</v>
      </c>
      <c r="T201" s="1" t="str">
        <f t="shared" si="30"/>
        <v>1-1</v>
      </c>
      <c r="U201" s="1" t="str">
        <f t="shared" si="30"/>
        <v>6-6</v>
      </c>
      <c r="V201" s="1">
        <f t="shared" si="29"/>
        <v>6</v>
      </c>
    </row>
    <row r="202" spans="1:22">
      <c r="A202" s="1" t="s">
        <v>75</v>
      </c>
      <c r="B202" s="1" t="s">
        <v>513</v>
      </c>
      <c r="C202" s="1" t="s">
        <v>39</v>
      </c>
      <c r="D202" s="1" t="s">
        <v>224</v>
      </c>
      <c r="E202" s="1">
        <v>1</v>
      </c>
      <c r="F202" s="1">
        <v>1</v>
      </c>
      <c r="G202" s="1">
        <v>0</v>
      </c>
      <c r="H202" s="1">
        <v>0</v>
      </c>
      <c r="M202" s="1" t="s">
        <v>547</v>
      </c>
      <c r="N202" s="1" t="s">
        <v>802</v>
      </c>
      <c r="O202" s="1" t="s">
        <v>802</v>
      </c>
      <c r="P202" s="1">
        <v>19</v>
      </c>
      <c r="Q202" s="1">
        <v>21</v>
      </c>
      <c r="R202" s="1">
        <v>70</v>
      </c>
      <c r="S202" s="1" t="str">
        <f t="shared" si="30"/>
        <v>1-1</v>
      </c>
      <c r="T202" s="1" t="str">
        <f t="shared" si="30"/>
        <v>1-1</v>
      </c>
      <c r="U202" s="1" t="str">
        <f t="shared" si="30"/>
        <v>6-6</v>
      </c>
      <c r="V202" s="1">
        <f t="shared" si="29"/>
        <v>6</v>
      </c>
    </row>
    <row r="203" spans="1:22">
      <c r="A203" s="1" t="s">
        <v>76</v>
      </c>
      <c r="B203" s="1" t="s">
        <v>514</v>
      </c>
      <c r="C203" s="1" t="s">
        <v>39</v>
      </c>
      <c r="D203" s="1" t="s">
        <v>225</v>
      </c>
      <c r="E203" s="1">
        <v>1</v>
      </c>
      <c r="F203" s="1">
        <v>1</v>
      </c>
      <c r="G203" s="1">
        <v>0</v>
      </c>
      <c r="H203" s="1">
        <v>0</v>
      </c>
      <c r="M203" s="1" t="s">
        <v>547</v>
      </c>
      <c r="N203" s="1" t="s">
        <v>803</v>
      </c>
      <c r="O203" s="1" t="s">
        <v>803</v>
      </c>
      <c r="P203" s="1">
        <v>25</v>
      </c>
      <c r="Q203" s="1">
        <v>28</v>
      </c>
      <c r="R203" s="1">
        <v>70</v>
      </c>
      <c r="S203" s="1" t="str">
        <f t="shared" si="30"/>
        <v>1-1</v>
      </c>
      <c r="T203" s="1" t="str">
        <f t="shared" si="30"/>
        <v>1-1</v>
      </c>
      <c r="U203" s="1" t="str">
        <f t="shared" si="30"/>
        <v>6-6</v>
      </c>
      <c r="V203" s="1">
        <f t="shared" si="29"/>
        <v>6</v>
      </c>
    </row>
    <row r="204" spans="1:22">
      <c r="A204" s="1" t="s">
        <v>77</v>
      </c>
      <c r="B204" s="1" t="s">
        <v>515</v>
      </c>
      <c r="C204" s="1" t="s">
        <v>39</v>
      </c>
      <c r="D204" s="1" t="s">
        <v>226</v>
      </c>
      <c r="E204" s="1">
        <v>1</v>
      </c>
      <c r="F204" s="1">
        <v>1</v>
      </c>
      <c r="G204" s="1">
        <v>0</v>
      </c>
      <c r="H204" s="1">
        <v>0</v>
      </c>
      <c r="M204" s="1" t="s">
        <v>547</v>
      </c>
      <c r="N204" s="1" t="s">
        <v>804</v>
      </c>
      <c r="O204" s="1" t="s">
        <v>804</v>
      </c>
      <c r="P204" s="1">
        <v>31</v>
      </c>
      <c r="Q204" s="1">
        <v>35</v>
      </c>
      <c r="R204" s="1">
        <v>70</v>
      </c>
      <c r="S204" s="1" t="str">
        <f t="shared" si="30"/>
        <v>1-1</v>
      </c>
      <c r="T204" s="1" t="str">
        <f t="shared" si="30"/>
        <v>1-1</v>
      </c>
      <c r="U204" s="1" t="str">
        <f t="shared" si="30"/>
        <v>6-6</v>
      </c>
      <c r="V204" s="1">
        <f t="shared" si="29"/>
        <v>6</v>
      </c>
    </row>
    <row r="205" spans="1:22">
      <c r="A205" s="1" t="s">
        <v>78</v>
      </c>
      <c r="B205" s="1" t="s">
        <v>516</v>
      </c>
      <c r="C205" s="1" t="s">
        <v>39</v>
      </c>
      <c r="D205" s="1" t="s">
        <v>227</v>
      </c>
      <c r="E205" s="1">
        <v>1</v>
      </c>
      <c r="F205" s="1">
        <v>1</v>
      </c>
      <c r="G205" s="1">
        <v>0</v>
      </c>
      <c r="H205" s="1">
        <v>0</v>
      </c>
      <c r="M205" s="1" t="s">
        <v>547</v>
      </c>
      <c r="N205" s="1" t="s">
        <v>805</v>
      </c>
      <c r="O205" s="1" t="s">
        <v>805</v>
      </c>
      <c r="P205" s="1">
        <v>1</v>
      </c>
      <c r="Q205" s="1">
        <v>1</v>
      </c>
      <c r="R205" s="1">
        <v>70</v>
      </c>
      <c r="S205" s="1" t="str">
        <f t="shared" si="30"/>
        <v>1-1</v>
      </c>
      <c r="T205" s="1" t="str">
        <f t="shared" si="30"/>
        <v>1-1</v>
      </c>
      <c r="U205" s="1" t="str">
        <f t="shared" si="30"/>
        <v>6-6</v>
      </c>
      <c r="V205" s="1">
        <f t="shared" si="29"/>
        <v>6</v>
      </c>
    </row>
    <row r="206" spans="1:22">
      <c r="A206" s="1" t="s">
        <v>79</v>
      </c>
      <c r="B206" s="1" t="s">
        <v>518</v>
      </c>
      <c r="C206" s="1" t="s">
        <v>39</v>
      </c>
      <c r="D206" s="1" t="s">
        <v>228</v>
      </c>
      <c r="E206" s="1">
        <v>1</v>
      </c>
      <c r="F206" s="1">
        <v>1</v>
      </c>
      <c r="G206" s="1">
        <v>0</v>
      </c>
      <c r="H206" s="1">
        <v>0</v>
      </c>
      <c r="M206" s="1" t="s">
        <v>573</v>
      </c>
      <c r="N206" s="1" t="s">
        <v>806</v>
      </c>
      <c r="O206" s="1" t="s">
        <v>806</v>
      </c>
      <c r="P206" s="1">
        <v>6</v>
      </c>
      <c r="Q206" s="1">
        <v>7</v>
      </c>
      <c r="R206" s="1">
        <v>70</v>
      </c>
      <c r="S206" s="1" t="str">
        <f t="shared" si="30"/>
        <v>1-1</v>
      </c>
      <c r="T206" s="1" t="str">
        <f t="shared" si="30"/>
        <v>1-1</v>
      </c>
      <c r="U206" s="1" t="str">
        <f t="shared" si="30"/>
        <v>6-6</v>
      </c>
      <c r="V206" s="1">
        <f t="shared" si="29"/>
        <v>6</v>
      </c>
    </row>
    <row r="207" spans="1:22">
      <c r="A207" s="1" t="s">
        <v>80</v>
      </c>
      <c r="B207" s="1" t="s">
        <v>521</v>
      </c>
      <c r="C207" s="1" t="s">
        <v>39</v>
      </c>
      <c r="D207" s="1" t="s">
        <v>229</v>
      </c>
      <c r="E207" s="1">
        <v>1</v>
      </c>
      <c r="F207" s="1">
        <v>1</v>
      </c>
      <c r="G207" s="1">
        <v>0</v>
      </c>
      <c r="H207" s="1">
        <v>0</v>
      </c>
      <c r="M207" s="1" t="s">
        <v>547</v>
      </c>
      <c r="N207" s="1" t="s">
        <v>807</v>
      </c>
      <c r="O207" s="1" t="s">
        <v>807</v>
      </c>
      <c r="P207" s="1">
        <v>12</v>
      </c>
      <c r="Q207" s="1">
        <v>14</v>
      </c>
      <c r="R207" s="1">
        <v>70</v>
      </c>
      <c r="S207" s="1" t="str">
        <f t="shared" si="30"/>
        <v>1-1</v>
      </c>
      <c r="T207" s="1" t="str">
        <f t="shared" si="30"/>
        <v>1-1</v>
      </c>
      <c r="U207" s="1" t="str">
        <f t="shared" si="30"/>
        <v>6-6</v>
      </c>
      <c r="V207" s="1">
        <f t="shared" si="29"/>
        <v>6</v>
      </c>
    </row>
    <row r="208" spans="1:22">
      <c r="A208" s="1" t="s">
        <v>81</v>
      </c>
      <c r="B208" s="1" t="s">
        <v>519</v>
      </c>
      <c r="C208" s="1" t="s">
        <v>39</v>
      </c>
      <c r="D208" s="1" t="s">
        <v>230</v>
      </c>
      <c r="E208" s="1">
        <v>1</v>
      </c>
      <c r="F208" s="1">
        <v>1</v>
      </c>
      <c r="G208" s="1">
        <v>0</v>
      </c>
      <c r="H208" s="1">
        <v>0</v>
      </c>
      <c r="M208" s="1" t="s">
        <v>547</v>
      </c>
      <c r="N208" s="1" t="s">
        <v>808</v>
      </c>
      <c r="O208" s="1" t="s">
        <v>808</v>
      </c>
      <c r="P208" s="1">
        <v>19</v>
      </c>
      <c r="Q208" s="1">
        <v>21</v>
      </c>
      <c r="R208" s="1">
        <v>70</v>
      </c>
      <c r="S208" s="1" t="str">
        <f t="shared" si="30"/>
        <v>1-1</v>
      </c>
      <c r="T208" s="1" t="str">
        <f t="shared" si="30"/>
        <v>1-1</v>
      </c>
      <c r="U208" s="1" t="str">
        <f t="shared" si="30"/>
        <v>6-6</v>
      </c>
      <c r="V208" s="1">
        <f t="shared" si="29"/>
        <v>6</v>
      </c>
    </row>
    <row r="209" spans="1:22">
      <c r="A209" s="1" t="s">
        <v>82</v>
      </c>
      <c r="B209" s="1" t="s">
        <v>520</v>
      </c>
      <c r="C209" s="1" t="s">
        <v>39</v>
      </c>
      <c r="D209" s="1" t="s">
        <v>239</v>
      </c>
      <c r="E209" s="1">
        <v>1</v>
      </c>
      <c r="F209" s="1">
        <v>1</v>
      </c>
      <c r="G209" s="1">
        <v>0</v>
      </c>
      <c r="H209" s="1">
        <v>0</v>
      </c>
      <c r="M209" s="1" t="s">
        <v>547</v>
      </c>
      <c r="N209" s="1" t="s">
        <v>809</v>
      </c>
      <c r="O209" s="1" t="s">
        <v>809</v>
      </c>
      <c r="P209" s="1">
        <v>25</v>
      </c>
      <c r="Q209" s="1">
        <v>28</v>
      </c>
      <c r="R209" s="1">
        <v>70</v>
      </c>
      <c r="S209" s="1" t="str">
        <f t="shared" si="30"/>
        <v>1-1</v>
      </c>
      <c r="T209" s="1" t="str">
        <f t="shared" si="30"/>
        <v>1-1</v>
      </c>
      <c r="U209" s="1" t="str">
        <f t="shared" si="30"/>
        <v>6-6</v>
      </c>
      <c r="V209" s="1">
        <f t="shared" si="29"/>
        <v>6</v>
      </c>
    </row>
    <row r="210" spans="1:22">
      <c r="A210" s="1" t="s">
        <v>83</v>
      </c>
      <c r="B210" s="1" t="s">
        <v>522</v>
      </c>
      <c r="C210" s="1" t="s">
        <v>39</v>
      </c>
      <c r="D210" s="1" t="s">
        <v>240</v>
      </c>
      <c r="E210" s="1">
        <v>1</v>
      </c>
      <c r="F210" s="1">
        <v>1</v>
      </c>
      <c r="G210" s="1">
        <v>0</v>
      </c>
      <c r="H210" s="1">
        <v>0</v>
      </c>
      <c r="M210" s="1" t="s">
        <v>547</v>
      </c>
      <c r="N210" s="1" t="s">
        <v>810</v>
      </c>
      <c r="O210" s="1" t="s">
        <v>810</v>
      </c>
      <c r="P210" s="1">
        <v>31</v>
      </c>
      <c r="Q210" s="1">
        <v>35</v>
      </c>
      <c r="R210" s="1">
        <v>70</v>
      </c>
      <c r="S210" s="1" t="str">
        <f t="shared" si="30"/>
        <v>1-1</v>
      </c>
      <c r="T210" s="1" t="str">
        <f t="shared" si="30"/>
        <v>1-1</v>
      </c>
      <c r="U210" s="1" t="str">
        <f t="shared" si="30"/>
        <v>6-6</v>
      </c>
      <c r="V210" s="1">
        <f t="shared" si="29"/>
        <v>6</v>
      </c>
    </row>
    <row r="211" spans="1:22">
      <c r="A211" s="1" t="s">
        <v>84</v>
      </c>
      <c r="B211" s="1" t="s">
        <v>523</v>
      </c>
      <c r="C211" s="1" t="s">
        <v>39</v>
      </c>
      <c r="D211" s="1" t="s">
        <v>241</v>
      </c>
      <c r="E211" s="1">
        <v>1</v>
      </c>
      <c r="F211" s="1">
        <v>1</v>
      </c>
      <c r="G211" s="1">
        <v>0</v>
      </c>
      <c r="H211" s="1">
        <v>0</v>
      </c>
      <c r="M211" s="1" t="s">
        <v>547</v>
      </c>
      <c r="N211" s="1" t="s">
        <v>811</v>
      </c>
      <c r="O211" s="1" t="s">
        <v>811</v>
      </c>
      <c r="P211" s="1">
        <v>1</v>
      </c>
      <c r="Q211" s="1">
        <v>1</v>
      </c>
      <c r="R211" s="1">
        <v>70</v>
      </c>
      <c r="S211" s="1" t="str">
        <f t="shared" si="30"/>
        <v>1-1</v>
      </c>
      <c r="T211" s="1" t="str">
        <f t="shared" si="30"/>
        <v>1-1</v>
      </c>
      <c r="U211" s="1" t="str">
        <f t="shared" si="30"/>
        <v>6-6</v>
      </c>
      <c r="V211" s="1">
        <f t="shared" si="29"/>
        <v>6</v>
      </c>
    </row>
    <row r="212" spans="1:22">
      <c r="A212" s="1" t="s">
        <v>85</v>
      </c>
      <c r="B212" s="1" t="s">
        <v>524</v>
      </c>
      <c r="C212" s="1" t="s">
        <v>39</v>
      </c>
      <c r="D212" s="1" t="s">
        <v>242</v>
      </c>
      <c r="E212" s="1">
        <v>1</v>
      </c>
      <c r="F212" s="1">
        <v>1</v>
      </c>
      <c r="G212" s="1">
        <v>0</v>
      </c>
      <c r="H212" s="1">
        <v>0</v>
      </c>
      <c r="M212" s="1" t="s">
        <v>573</v>
      </c>
      <c r="N212" s="1" t="s">
        <v>812</v>
      </c>
      <c r="O212" s="1" t="s">
        <v>812</v>
      </c>
      <c r="P212" s="1">
        <v>6</v>
      </c>
      <c r="Q212" s="1">
        <v>7</v>
      </c>
      <c r="R212" s="1">
        <v>70</v>
      </c>
      <c r="S212" s="1" t="str">
        <f t="shared" si="30"/>
        <v>1-1</v>
      </c>
      <c r="T212" s="1" t="str">
        <f t="shared" si="30"/>
        <v>1-1</v>
      </c>
      <c r="U212" s="1" t="str">
        <f t="shared" si="30"/>
        <v>6-6</v>
      </c>
      <c r="V212" s="1">
        <f t="shared" si="29"/>
        <v>6</v>
      </c>
    </row>
    <row r="213" spans="1:22">
      <c r="A213" s="1" t="s">
        <v>86</v>
      </c>
      <c r="B213" s="1" t="s">
        <v>525</v>
      </c>
      <c r="C213" s="1" t="s">
        <v>39</v>
      </c>
      <c r="D213" s="1" t="s">
        <v>243</v>
      </c>
      <c r="E213" s="1">
        <v>1</v>
      </c>
      <c r="F213" s="1">
        <v>1</v>
      </c>
      <c r="G213" s="1">
        <v>0</v>
      </c>
      <c r="H213" s="1">
        <v>0</v>
      </c>
      <c r="M213" s="1" t="s">
        <v>547</v>
      </c>
      <c r="N213" s="1" t="s">
        <v>813</v>
      </c>
      <c r="O213" s="1" t="s">
        <v>813</v>
      </c>
      <c r="P213" s="1">
        <v>12</v>
      </c>
      <c r="Q213" s="1">
        <v>14</v>
      </c>
      <c r="R213" s="1">
        <v>70</v>
      </c>
      <c r="S213" s="1" t="str">
        <f t="shared" si="30"/>
        <v>1-1</v>
      </c>
      <c r="T213" s="1" t="str">
        <f t="shared" si="30"/>
        <v>1-1</v>
      </c>
      <c r="U213" s="1" t="str">
        <f t="shared" si="30"/>
        <v>6-6</v>
      </c>
      <c r="V213" s="1">
        <f t="shared" si="29"/>
        <v>6</v>
      </c>
    </row>
    <row r="214" spans="1:22">
      <c r="A214" s="1" t="s">
        <v>87</v>
      </c>
      <c r="B214" s="1" t="s">
        <v>526</v>
      </c>
      <c r="C214" s="1" t="s">
        <v>39</v>
      </c>
      <c r="D214" s="1" t="s">
        <v>244</v>
      </c>
      <c r="E214" s="1">
        <v>1</v>
      </c>
      <c r="F214" s="1">
        <v>1</v>
      </c>
      <c r="G214" s="1">
        <v>0</v>
      </c>
      <c r="H214" s="1">
        <v>0</v>
      </c>
      <c r="M214" s="1" t="s">
        <v>547</v>
      </c>
      <c r="N214" s="1" t="s">
        <v>814</v>
      </c>
      <c r="O214" s="1" t="s">
        <v>814</v>
      </c>
      <c r="P214" s="1">
        <v>19</v>
      </c>
      <c r="Q214" s="1">
        <v>21</v>
      </c>
      <c r="R214" s="1">
        <v>70</v>
      </c>
      <c r="S214" s="1" t="str">
        <f t="shared" si="30"/>
        <v>1-1</v>
      </c>
      <c r="T214" s="1" t="str">
        <f t="shared" si="30"/>
        <v>1-1</v>
      </c>
      <c r="U214" s="1" t="str">
        <f t="shared" si="30"/>
        <v>6-6</v>
      </c>
      <c r="V214" s="1">
        <f t="shared" si="29"/>
        <v>6</v>
      </c>
    </row>
    <row r="215" spans="1:22">
      <c r="A215" s="1" t="s">
        <v>88</v>
      </c>
      <c r="B215" s="1" t="s">
        <v>527</v>
      </c>
      <c r="C215" s="1" t="s">
        <v>39</v>
      </c>
      <c r="D215" s="1" t="s">
        <v>245</v>
      </c>
      <c r="E215" s="1">
        <v>1</v>
      </c>
      <c r="F215" s="1">
        <v>1</v>
      </c>
      <c r="G215" s="1">
        <v>0</v>
      </c>
      <c r="H215" s="1">
        <v>0</v>
      </c>
      <c r="M215" s="1" t="s">
        <v>547</v>
      </c>
      <c r="N215" s="1" t="s">
        <v>815</v>
      </c>
      <c r="O215" s="1" t="s">
        <v>815</v>
      </c>
      <c r="P215" s="1">
        <v>25</v>
      </c>
      <c r="Q215" s="1">
        <v>28</v>
      </c>
      <c r="R215" s="1">
        <v>70</v>
      </c>
      <c r="S215" s="1" t="str">
        <f t="shared" si="30"/>
        <v>1-1</v>
      </c>
      <c r="T215" s="1" t="str">
        <f t="shared" si="30"/>
        <v>1-1</v>
      </c>
      <c r="U215" s="1" t="str">
        <f t="shared" si="30"/>
        <v>6-6</v>
      </c>
      <c r="V215" s="1">
        <f t="shared" si="29"/>
        <v>6</v>
      </c>
    </row>
    <row r="216" spans="1:22">
      <c r="A216" s="1" t="s">
        <v>89</v>
      </c>
      <c r="B216" s="1" t="s">
        <v>528</v>
      </c>
      <c r="C216" s="1" t="s">
        <v>39</v>
      </c>
      <c r="D216" s="1" t="s">
        <v>246</v>
      </c>
      <c r="E216" s="1">
        <v>1</v>
      </c>
      <c r="F216" s="1">
        <v>1</v>
      </c>
      <c r="G216" s="1">
        <v>0</v>
      </c>
      <c r="H216" s="1">
        <v>0</v>
      </c>
      <c r="M216" s="1" t="s">
        <v>547</v>
      </c>
      <c r="N216" s="1" t="s">
        <v>816</v>
      </c>
      <c r="O216" s="1" t="s">
        <v>816</v>
      </c>
      <c r="P216" s="1">
        <v>31</v>
      </c>
      <c r="Q216" s="1">
        <v>35</v>
      </c>
      <c r="R216" s="1">
        <v>70</v>
      </c>
      <c r="S216" s="1" t="str">
        <f t="shared" si="30"/>
        <v>1-1</v>
      </c>
      <c r="T216" s="1" t="str">
        <f t="shared" si="30"/>
        <v>1-1</v>
      </c>
      <c r="U216" s="1" t="str">
        <f t="shared" si="30"/>
        <v>6-6</v>
      </c>
      <c r="V216" s="1">
        <f t="shared" si="29"/>
        <v>6</v>
      </c>
    </row>
    <row r="217" spans="1:22">
      <c r="A217" s="1" t="s">
        <v>669</v>
      </c>
      <c r="B217" s="1" t="s">
        <v>493</v>
      </c>
      <c r="C217" s="1" t="s">
        <v>39</v>
      </c>
      <c r="D217" s="1" t="s">
        <v>203</v>
      </c>
      <c r="E217" s="1">
        <v>1</v>
      </c>
      <c r="F217" s="1">
        <v>1</v>
      </c>
      <c r="G217" s="1">
        <v>0</v>
      </c>
      <c r="H217" s="1">
        <v>0.25</v>
      </c>
      <c r="M217" s="1" t="s">
        <v>547</v>
      </c>
      <c r="N217" s="1" t="s">
        <v>781</v>
      </c>
      <c r="O217" s="1" t="s">
        <v>781</v>
      </c>
      <c r="P217" s="1">
        <v>1</v>
      </c>
      <c r="Q217" s="1">
        <v>1</v>
      </c>
      <c r="R217" s="1">
        <v>70</v>
      </c>
      <c r="S217" s="1" t="str">
        <f t="shared" si="30"/>
        <v>1-1</v>
      </c>
      <c r="T217" s="1" t="str">
        <f t="shared" si="30"/>
        <v>1-2</v>
      </c>
      <c r="U217" s="1" t="str">
        <f t="shared" si="30"/>
        <v>6-12</v>
      </c>
      <c r="V217" s="1">
        <f t="shared" si="29"/>
        <v>9</v>
      </c>
    </row>
    <row r="218" spans="1:22">
      <c r="A218" s="1" t="s">
        <v>670</v>
      </c>
      <c r="B218" s="1" t="s">
        <v>494</v>
      </c>
      <c r="C218" s="1" t="s">
        <v>39</v>
      </c>
      <c r="D218" s="1" t="s">
        <v>204</v>
      </c>
      <c r="E218" s="1">
        <v>1</v>
      </c>
      <c r="F218" s="1">
        <v>1</v>
      </c>
      <c r="G218" s="1">
        <v>0</v>
      </c>
      <c r="H218" s="1">
        <v>0.25</v>
      </c>
      <c r="M218" s="1" t="s">
        <v>573</v>
      </c>
      <c r="N218" s="1" t="s">
        <v>782</v>
      </c>
      <c r="O218" s="1" t="s">
        <v>782</v>
      </c>
      <c r="P218" s="1">
        <v>6</v>
      </c>
      <c r="Q218" s="1">
        <v>7</v>
      </c>
      <c r="R218" s="1">
        <v>70</v>
      </c>
      <c r="S218" s="1" t="str">
        <f t="shared" si="30"/>
        <v>1-1</v>
      </c>
      <c r="T218" s="1" t="str">
        <f t="shared" si="30"/>
        <v>1-2</v>
      </c>
      <c r="U218" s="1" t="str">
        <f t="shared" si="30"/>
        <v>6-12</v>
      </c>
      <c r="V218" s="1">
        <f t="shared" ref="V218:V253" si="31">_xlfn.LET(_xlpm.a,($E218+U$3*$G218)*(1+U$2),_xlpm.b,($F218+U$3*$H218)*(1+U$2),_xlpm.a/2+_xlpm.b/2)</f>
        <v>9</v>
      </c>
    </row>
    <row r="219" spans="1:22">
      <c r="A219" s="1" t="s">
        <v>671</v>
      </c>
      <c r="B219" s="1" t="s">
        <v>495</v>
      </c>
      <c r="C219" s="1" t="s">
        <v>39</v>
      </c>
      <c r="D219" s="1" t="s">
        <v>205</v>
      </c>
      <c r="E219" s="1">
        <v>1</v>
      </c>
      <c r="F219" s="1">
        <v>1</v>
      </c>
      <c r="G219" s="1">
        <v>0</v>
      </c>
      <c r="H219" s="1">
        <v>0.25</v>
      </c>
      <c r="M219" s="1" t="s">
        <v>547</v>
      </c>
      <c r="N219" s="1" t="s">
        <v>783</v>
      </c>
      <c r="O219" s="1" t="s">
        <v>783</v>
      </c>
      <c r="P219" s="1">
        <v>12</v>
      </c>
      <c r="Q219" s="1">
        <v>14</v>
      </c>
      <c r="R219" s="1">
        <v>70</v>
      </c>
      <c r="S219" s="1" t="str">
        <f t="shared" si="30"/>
        <v>1-1</v>
      </c>
      <c r="T219" s="1" t="str">
        <f t="shared" si="30"/>
        <v>1-2</v>
      </c>
      <c r="U219" s="1" t="str">
        <f t="shared" si="30"/>
        <v>6-12</v>
      </c>
      <c r="V219" s="1">
        <f t="shared" si="31"/>
        <v>9</v>
      </c>
    </row>
    <row r="220" spans="1:22">
      <c r="A220" s="1" t="s">
        <v>672</v>
      </c>
      <c r="B220" s="1" t="s">
        <v>496</v>
      </c>
      <c r="C220" s="1" t="s">
        <v>39</v>
      </c>
      <c r="D220" s="1" t="s">
        <v>206</v>
      </c>
      <c r="E220" s="1">
        <v>1</v>
      </c>
      <c r="F220" s="1">
        <v>1</v>
      </c>
      <c r="G220" s="1">
        <v>0</v>
      </c>
      <c r="H220" s="1">
        <v>0.25</v>
      </c>
      <c r="M220" s="1" t="s">
        <v>547</v>
      </c>
      <c r="N220" s="1" t="s">
        <v>784</v>
      </c>
      <c r="O220" s="1" t="s">
        <v>784</v>
      </c>
      <c r="P220" s="1">
        <v>19</v>
      </c>
      <c r="Q220" s="1">
        <v>21</v>
      </c>
      <c r="R220" s="1">
        <v>70</v>
      </c>
      <c r="S220" s="1" t="str">
        <f t="shared" si="30"/>
        <v>1-1</v>
      </c>
      <c r="T220" s="1" t="str">
        <f t="shared" si="30"/>
        <v>1-2</v>
      </c>
      <c r="U220" s="1" t="str">
        <f t="shared" si="30"/>
        <v>6-12</v>
      </c>
      <c r="V220" s="1">
        <f t="shared" si="31"/>
        <v>9</v>
      </c>
    </row>
    <row r="221" spans="1:22">
      <c r="A221" s="1" t="s">
        <v>673</v>
      </c>
      <c r="B221" s="1" t="s">
        <v>497</v>
      </c>
      <c r="C221" s="1" t="s">
        <v>39</v>
      </c>
      <c r="D221" s="1" t="s">
        <v>207</v>
      </c>
      <c r="E221" s="1">
        <v>1</v>
      </c>
      <c r="F221" s="1">
        <v>1</v>
      </c>
      <c r="G221" s="1">
        <v>0</v>
      </c>
      <c r="H221" s="1">
        <v>0.25</v>
      </c>
      <c r="M221" s="1" t="s">
        <v>547</v>
      </c>
      <c r="N221" s="1" t="s">
        <v>785</v>
      </c>
      <c r="O221" s="1" t="s">
        <v>785</v>
      </c>
      <c r="P221" s="1">
        <v>25</v>
      </c>
      <c r="Q221" s="1">
        <v>28</v>
      </c>
      <c r="R221" s="1">
        <v>70</v>
      </c>
      <c r="S221" s="1" t="str">
        <f t="shared" si="30"/>
        <v>1-1</v>
      </c>
      <c r="T221" s="1" t="str">
        <f t="shared" si="30"/>
        <v>1-2</v>
      </c>
      <c r="U221" s="1" t="str">
        <f t="shared" si="30"/>
        <v>6-12</v>
      </c>
      <c r="V221" s="1">
        <f t="shared" si="31"/>
        <v>9</v>
      </c>
    </row>
    <row r="222" spans="1:22">
      <c r="A222" s="1" t="s">
        <v>674</v>
      </c>
      <c r="B222" s="1" t="s">
        <v>498</v>
      </c>
      <c r="C222" s="1" t="s">
        <v>39</v>
      </c>
      <c r="D222" s="1" t="s">
        <v>208</v>
      </c>
      <c r="E222" s="1">
        <v>1</v>
      </c>
      <c r="F222" s="1">
        <v>1</v>
      </c>
      <c r="G222" s="1">
        <v>0</v>
      </c>
      <c r="H222" s="1">
        <v>0.25</v>
      </c>
      <c r="M222" s="1" t="s">
        <v>547</v>
      </c>
      <c r="N222" s="1" t="s">
        <v>786</v>
      </c>
      <c r="O222" s="1" t="s">
        <v>786</v>
      </c>
      <c r="P222" s="1">
        <v>31</v>
      </c>
      <c r="Q222" s="1">
        <v>35</v>
      </c>
      <c r="R222" s="1">
        <v>70</v>
      </c>
      <c r="S222" s="1" t="str">
        <f t="shared" si="30"/>
        <v>1-1</v>
      </c>
      <c r="T222" s="1" t="str">
        <f t="shared" si="30"/>
        <v>1-2</v>
      </c>
      <c r="U222" s="1" t="str">
        <f t="shared" si="30"/>
        <v>6-12</v>
      </c>
      <c r="V222" s="1">
        <f t="shared" si="31"/>
        <v>9</v>
      </c>
    </row>
    <row r="223" spans="1:22">
      <c r="A223" s="1" t="s">
        <v>675</v>
      </c>
      <c r="B223" s="1" t="s">
        <v>499</v>
      </c>
      <c r="C223" s="1" t="s">
        <v>39</v>
      </c>
      <c r="D223" s="1" t="s">
        <v>209</v>
      </c>
      <c r="E223" s="1">
        <v>1</v>
      </c>
      <c r="F223" s="1">
        <v>1</v>
      </c>
      <c r="G223" s="1">
        <v>0</v>
      </c>
      <c r="H223" s="1">
        <v>0.25</v>
      </c>
      <c r="M223" s="1" t="s">
        <v>547</v>
      </c>
      <c r="N223" s="1" t="s">
        <v>787</v>
      </c>
      <c r="O223" s="1" t="s">
        <v>787</v>
      </c>
      <c r="P223" s="1">
        <v>1</v>
      </c>
      <c r="Q223" s="1">
        <v>1</v>
      </c>
      <c r="R223" s="1">
        <v>70</v>
      </c>
      <c r="S223" s="1" t="str">
        <f t="shared" si="30"/>
        <v>1-1</v>
      </c>
      <c r="T223" s="1" t="str">
        <f t="shared" si="30"/>
        <v>1-2</v>
      </c>
      <c r="U223" s="1" t="str">
        <f t="shared" si="30"/>
        <v>6-12</v>
      </c>
      <c r="V223" s="1">
        <f t="shared" si="31"/>
        <v>9</v>
      </c>
    </row>
    <row r="224" spans="1:22">
      <c r="A224" s="1" t="s">
        <v>676</v>
      </c>
      <c r="B224" s="1" t="s">
        <v>500</v>
      </c>
      <c r="C224" s="1" t="s">
        <v>39</v>
      </c>
      <c r="D224" s="1" t="s">
        <v>210</v>
      </c>
      <c r="E224" s="1">
        <v>1</v>
      </c>
      <c r="F224" s="1">
        <v>1</v>
      </c>
      <c r="G224" s="1">
        <v>0</v>
      </c>
      <c r="H224" s="1">
        <v>0.25</v>
      </c>
      <c r="M224" s="1" t="s">
        <v>573</v>
      </c>
      <c r="N224" s="1" t="s">
        <v>788</v>
      </c>
      <c r="O224" s="1" t="s">
        <v>788</v>
      </c>
      <c r="P224" s="1">
        <v>6</v>
      </c>
      <c r="Q224" s="1">
        <v>7</v>
      </c>
      <c r="R224" s="1">
        <v>70</v>
      </c>
      <c r="S224" s="1" t="str">
        <f t="shared" si="30"/>
        <v>1-1</v>
      </c>
      <c r="T224" s="1" t="str">
        <f t="shared" si="30"/>
        <v>1-2</v>
      </c>
      <c r="U224" s="1" t="str">
        <f t="shared" si="30"/>
        <v>6-12</v>
      </c>
      <c r="V224" s="1">
        <f t="shared" si="31"/>
        <v>9</v>
      </c>
    </row>
    <row r="225" spans="1:22">
      <c r="A225" s="1" t="s">
        <v>677</v>
      </c>
      <c r="B225" s="1" t="s">
        <v>501</v>
      </c>
      <c r="C225" s="1" t="s">
        <v>39</v>
      </c>
      <c r="D225" s="1" t="s">
        <v>211</v>
      </c>
      <c r="E225" s="1">
        <v>1</v>
      </c>
      <c r="F225" s="1">
        <v>1</v>
      </c>
      <c r="G225" s="1">
        <v>0</v>
      </c>
      <c r="H225" s="1">
        <v>0.25</v>
      </c>
      <c r="M225" s="1" t="s">
        <v>547</v>
      </c>
      <c r="N225" s="1" t="s">
        <v>789</v>
      </c>
      <c r="O225" s="1" t="s">
        <v>789</v>
      </c>
      <c r="P225" s="1">
        <v>12</v>
      </c>
      <c r="Q225" s="1">
        <v>14</v>
      </c>
      <c r="R225" s="1">
        <v>70</v>
      </c>
      <c r="S225" s="1" t="str">
        <f t="shared" si="30"/>
        <v>1-1</v>
      </c>
      <c r="T225" s="1" t="str">
        <f t="shared" si="30"/>
        <v>1-2</v>
      </c>
      <c r="U225" s="1" t="str">
        <f t="shared" si="30"/>
        <v>6-12</v>
      </c>
      <c r="V225" s="1">
        <f t="shared" si="31"/>
        <v>9</v>
      </c>
    </row>
    <row r="226" spans="1:22">
      <c r="A226" s="1" t="s">
        <v>678</v>
      </c>
      <c r="B226" s="1" t="s">
        <v>502</v>
      </c>
      <c r="C226" s="1" t="s">
        <v>39</v>
      </c>
      <c r="D226" s="1" t="s">
        <v>212</v>
      </c>
      <c r="E226" s="1">
        <v>1</v>
      </c>
      <c r="F226" s="1">
        <v>1</v>
      </c>
      <c r="G226" s="1">
        <v>0</v>
      </c>
      <c r="H226" s="1">
        <v>0.25</v>
      </c>
      <c r="M226" s="1" t="s">
        <v>547</v>
      </c>
      <c r="N226" s="1" t="s">
        <v>790</v>
      </c>
      <c r="O226" s="1" t="s">
        <v>790</v>
      </c>
      <c r="P226" s="1">
        <v>19</v>
      </c>
      <c r="Q226" s="1">
        <v>21</v>
      </c>
      <c r="R226" s="1">
        <v>70</v>
      </c>
      <c r="S226" s="1" t="str">
        <f t="shared" si="30"/>
        <v>1-1</v>
      </c>
      <c r="T226" s="1" t="str">
        <f t="shared" si="30"/>
        <v>1-2</v>
      </c>
      <c r="U226" s="1" t="str">
        <f t="shared" si="30"/>
        <v>6-12</v>
      </c>
      <c r="V226" s="1">
        <f t="shared" si="31"/>
        <v>9</v>
      </c>
    </row>
    <row r="227" spans="1:22">
      <c r="A227" s="1" t="s">
        <v>679</v>
      </c>
      <c r="B227" s="1" t="s">
        <v>503</v>
      </c>
      <c r="C227" s="1" t="s">
        <v>39</v>
      </c>
      <c r="D227" s="1" t="s">
        <v>213</v>
      </c>
      <c r="E227" s="1">
        <v>1</v>
      </c>
      <c r="F227" s="1">
        <v>1</v>
      </c>
      <c r="G227" s="1">
        <v>0</v>
      </c>
      <c r="H227" s="1">
        <v>0.25</v>
      </c>
      <c r="M227" s="1" t="s">
        <v>547</v>
      </c>
      <c r="N227" s="1" t="s">
        <v>791</v>
      </c>
      <c r="O227" s="1" t="s">
        <v>791</v>
      </c>
      <c r="P227" s="1">
        <v>25</v>
      </c>
      <c r="Q227" s="1">
        <v>28</v>
      </c>
      <c r="R227" s="1">
        <v>70</v>
      </c>
      <c r="S227" s="1" t="str">
        <f t="shared" si="30"/>
        <v>1-1</v>
      </c>
      <c r="T227" s="1" t="str">
        <f t="shared" si="30"/>
        <v>1-2</v>
      </c>
      <c r="U227" s="1" t="str">
        <f t="shared" si="30"/>
        <v>6-12</v>
      </c>
      <c r="V227" s="1">
        <f t="shared" si="31"/>
        <v>9</v>
      </c>
    </row>
    <row r="228" spans="1:22">
      <c r="A228" s="1" t="s">
        <v>680</v>
      </c>
      <c r="B228" s="1" t="s">
        <v>504</v>
      </c>
      <c r="C228" s="1" t="s">
        <v>39</v>
      </c>
      <c r="D228" s="1" t="s">
        <v>214</v>
      </c>
      <c r="E228" s="1">
        <v>1</v>
      </c>
      <c r="F228" s="1">
        <v>1</v>
      </c>
      <c r="G228" s="1">
        <v>0</v>
      </c>
      <c r="H228" s="1">
        <v>0.25</v>
      </c>
      <c r="M228" s="1" t="s">
        <v>547</v>
      </c>
      <c r="N228" s="1" t="s">
        <v>792</v>
      </c>
      <c r="O228" s="1" t="s">
        <v>792</v>
      </c>
      <c r="P228" s="1">
        <v>31</v>
      </c>
      <c r="Q228" s="1">
        <v>35</v>
      </c>
      <c r="R228" s="1">
        <v>70</v>
      </c>
      <c r="S228" s="1" t="str">
        <f t="shared" si="30"/>
        <v>1-1</v>
      </c>
      <c r="T228" s="1" t="str">
        <f t="shared" si="30"/>
        <v>1-2</v>
      </c>
      <c r="U228" s="1" t="str">
        <f t="shared" si="30"/>
        <v>6-12</v>
      </c>
      <c r="V228" s="1">
        <f t="shared" si="31"/>
        <v>9</v>
      </c>
    </row>
    <row r="229" spans="1:22">
      <c r="A229" s="1" t="s">
        <v>681</v>
      </c>
      <c r="B229" s="1" t="s">
        <v>505</v>
      </c>
      <c r="C229" s="1" t="s">
        <v>39</v>
      </c>
      <c r="D229" s="1" t="s">
        <v>215</v>
      </c>
      <c r="E229" s="1">
        <v>1</v>
      </c>
      <c r="F229" s="1">
        <v>1</v>
      </c>
      <c r="G229" s="1">
        <v>0</v>
      </c>
      <c r="H229" s="1">
        <v>0.25</v>
      </c>
      <c r="M229" s="1" t="s">
        <v>547</v>
      </c>
      <c r="N229" s="1" t="s">
        <v>793</v>
      </c>
      <c r="O229" s="1" t="s">
        <v>793</v>
      </c>
      <c r="P229" s="1">
        <v>1</v>
      </c>
      <c r="Q229" s="1">
        <v>1</v>
      </c>
      <c r="R229" s="1">
        <v>70</v>
      </c>
      <c r="S229" s="1" t="str">
        <f t="shared" si="30"/>
        <v>1-1</v>
      </c>
      <c r="T229" s="1" t="str">
        <f t="shared" si="30"/>
        <v>1-2</v>
      </c>
      <c r="U229" s="1" t="str">
        <f t="shared" si="30"/>
        <v>6-12</v>
      </c>
      <c r="V229" s="1">
        <f t="shared" si="31"/>
        <v>9</v>
      </c>
    </row>
    <row r="230" spans="1:22">
      <c r="A230" s="1" t="s">
        <v>682</v>
      </c>
      <c r="B230" s="1" t="s">
        <v>506</v>
      </c>
      <c r="C230" s="1" t="s">
        <v>39</v>
      </c>
      <c r="D230" s="1" t="s">
        <v>216</v>
      </c>
      <c r="E230" s="1">
        <v>1</v>
      </c>
      <c r="F230" s="1">
        <v>1</v>
      </c>
      <c r="G230" s="1">
        <v>0</v>
      </c>
      <c r="H230" s="1">
        <v>0.25</v>
      </c>
      <c r="M230" s="1" t="s">
        <v>573</v>
      </c>
      <c r="N230" s="1" t="s">
        <v>794</v>
      </c>
      <c r="O230" s="1" t="s">
        <v>794</v>
      </c>
      <c r="P230" s="1">
        <v>6</v>
      </c>
      <c r="Q230" s="1">
        <v>7</v>
      </c>
      <c r="R230" s="1">
        <v>70</v>
      </c>
      <c r="S230" s="1" t="str">
        <f t="shared" si="30"/>
        <v>1-1</v>
      </c>
      <c r="T230" s="1" t="str">
        <f t="shared" si="30"/>
        <v>1-2</v>
      </c>
      <c r="U230" s="1" t="str">
        <f t="shared" si="30"/>
        <v>6-12</v>
      </c>
      <c r="V230" s="1">
        <f t="shared" si="31"/>
        <v>9</v>
      </c>
    </row>
    <row r="231" spans="1:22">
      <c r="A231" s="1" t="s">
        <v>683</v>
      </c>
      <c r="B231" s="1" t="s">
        <v>507</v>
      </c>
      <c r="C231" s="1" t="s">
        <v>39</v>
      </c>
      <c r="D231" s="1" t="s">
        <v>217</v>
      </c>
      <c r="E231" s="1">
        <v>1</v>
      </c>
      <c r="F231" s="1">
        <v>1</v>
      </c>
      <c r="G231" s="1">
        <v>0</v>
      </c>
      <c r="H231" s="1">
        <v>0.25</v>
      </c>
      <c r="M231" s="1" t="s">
        <v>547</v>
      </c>
      <c r="N231" s="1" t="s">
        <v>795</v>
      </c>
      <c r="O231" s="1" t="s">
        <v>795</v>
      </c>
      <c r="P231" s="1">
        <v>12</v>
      </c>
      <c r="Q231" s="1">
        <v>14</v>
      </c>
      <c r="R231" s="1">
        <v>70</v>
      </c>
      <c r="S231" s="1" t="str">
        <f t="shared" si="30"/>
        <v>1-1</v>
      </c>
      <c r="T231" s="1" t="str">
        <f t="shared" si="30"/>
        <v>1-2</v>
      </c>
      <c r="U231" s="1" t="str">
        <f t="shared" si="30"/>
        <v>6-12</v>
      </c>
      <c r="V231" s="1">
        <f t="shared" si="31"/>
        <v>9</v>
      </c>
    </row>
    <row r="232" spans="1:22">
      <c r="A232" s="1" t="s">
        <v>684</v>
      </c>
      <c r="B232" s="1" t="s">
        <v>508</v>
      </c>
      <c r="C232" s="1" t="s">
        <v>39</v>
      </c>
      <c r="D232" s="1" t="s">
        <v>218</v>
      </c>
      <c r="E232" s="1">
        <v>1</v>
      </c>
      <c r="F232" s="1">
        <v>1</v>
      </c>
      <c r="G232" s="1">
        <v>0</v>
      </c>
      <c r="H232" s="1">
        <v>0.25</v>
      </c>
      <c r="M232" s="1" t="s">
        <v>547</v>
      </c>
      <c r="N232" s="1" t="s">
        <v>796</v>
      </c>
      <c r="O232" s="1" t="s">
        <v>796</v>
      </c>
      <c r="P232" s="1">
        <v>19</v>
      </c>
      <c r="Q232" s="1">
        <v>21</v>
      </c>
      <c r="R232" s="1">
        <v>70</v>
      </c>
      <c r="S232" s="1" t="str">
        <f t="shared" si="30"/>
        <v>1-1</v>
      </c>
      <c r="T232" s="1" t="str">
        <f t="shared" si="30"/>
        <v>1-2</v>
      </c>
      <c r="U232" s="1" t="str">
        <f t="shared" si="30"/>
        <v>6-12</v>
      </c>
      <c r="V232" s="1">
        <f t="shared" si="31"/>
        <v>9</v>
      </c>
    </row>
    <row r="233" spans="1:22">
      <c r="A233" s="1" t="s">
        <v>685</v>
      </c>
      <c r="B233" s="1" t="s">
        <v>509</v>
      </c>
      <c r="C233" s="1" t="s">
        <v>39</v>
      </c>
      <c r="D233" s="1" t="s">
        <v>219</v>
      </c>
      <c r="E233" s="1">
        <v>1</v>
      </c>
      <c r="F233" s="1">
        <v>1</v>
      </c>
      <c r="G233" s="1">
        <v>0</v>
      </c>
      <c r="H233" s="1">
        <v>0.25</v>
      </c>
      <c r="M233" s="1" t="s">
        <v>547</v>
      </c>
      <c r="N233" s="1" t="s">
        <v>797</v>
      </c>
      <c r="O233" s="1" t="s">
        <v>797</v>
      </c>
      <c r="P233" s="1">
        <v>25</v>
      </c>
      <c r="Q233" s="1">
        <v>28</v>
      </c>
      <c r="R233" s="1">
        <v>70</v>
      </c>
      <c r="S233" s="1" t="str">
        <f t="shared" si="30"/>
        <v>1-1</v>
      </c>
      <c r="T233" s="1" t="str">
        <f t="shared" si="30"/>
        <v>1-2</v>
      </c>
      <c r="U233" s="1" t="str">
        <f t="shared" si="30"/>
        <v>6-12</v>
      </c>
      <c r="V233" s="1">
        <f t="shared" si="31"/>
        <v>9</v>
      </c>
    </row>
    <row r="234" spans="1:22">
      <c r="A234" s="1" t="s">
        <v>686</v>
      </c>
      <c r="B234" s="1" t="s">
        <v>510</v>
      </c>
      <c r="C234" s="1" t="s">
        <v>39</v>
      </c>
      <c r="D234" s="1" t="s">
        <v>220</v>
      </c>
      <c r="E234" s="1">
        <v>1</v>
      </c>
      <c r="F234" s="1">
        <v>1</v>
      </c>
      <c r="G234" s="1">
        <v>0</v>
      </c>
      <c r="H234" s="1">
        <v>0.25</v>
      </c>
      <c r="M234" s="1" t="s">
        <v>547</v>
      </c>
      <c r="N234" s="1" t="s">
        <v>798</v>
      </c>
      <c r="O234" s="1" t="s">
        <v>798</v>
      </c>
      <c r="P234" s="1">
        <v>31</v>
      </c>
      <c r="Q234" s="1">
        <v>35</v>
      </c>
      <c r="R234" s="1">
        <v>70</v>
      </c>
      <c r="S234" s="1" t="str">
        <f t="shared" si="30"/>
        <v>1-1</v>
      </c>
      <c r="T234" s="1" t="str">
        <f t="shared" si="30"/>
        <v>1-2</v>
      </c>
      <c r="U234" s="1" t="str">
        <f t="shared" si="30"/>
        <v>6-12</v>
      </c>
      <c r="V234" s="1">
        <f t="shared" si="31"/>
        <v>9</v>
      </c>
    </row>
    <row r="235" spans="1:22">
      <c r="A235" s="1" t="s">
        <v>687</v>
      </c>
      <c r="B235" s="1" t="s">
        <v>511</v>
      </c>
      <c r="C235" s="1" t="s">
        <v>39</v>
      </c>
      <c r="D235" s="1" t="s">
        <v>221</v>
      </c>
      <c r="E235" s="1">
        <v>1</v>
      </c>
      <c r="F235" s="1">
        <v>1</v>
      </c>
      <c r="G235" s="1">
        <v>0</v>
      </c>
      <c r="H235" s="1">
        <v>0.25</v>
      </c>
      <c r="M235" s="1" t="s">
        <v>547</v>
      </c>
      <c r="N235" s="1" t="s">
        <v>799</v>
      </c>
      <c r="O235" s="1" t="s">
        <v>799</v>
      </c>
      <c r="P235" s="1">
        <v>1</v>
      </c>
      <c r="Q235" s="1">
        <v>1</v>
      </c>
      <c r="R235" s="1">
        <v>70</v>
      </c>
      <c r="S235" s="1" t="str">
        <f t="shared" si="30"/>
        <v>1-1</v>
      </c>
      <c r="T235" s="1" t="str">
        <f t="shared" si="30"/>
        <v>1-2</v>
      </c>
      <c r="U235" s="1" t="str">
        <f t="shared" si="30"/>
        <v>6-12</v>
      </c>
      <c r="V235" s="1">
        <f t="shared" si="31"/>
        <v>9</v>
      </c>
    </row>
    <row r="236" spans="1:22">
      <c r="A236" s="1" t="s">
        <v>688</v>
      </c>
      <c r="B236" s="1" t="s">
        <v>512</v>
      </c>
      <c r="C236" s="1" t="s">
        <v>39</v>
      </c>
      <c r="D236" s="1" t="s">
        <v>222</v>
      </c>
      <c r="E236" s="1">
        <v>1</v>
      </c>
      <c r="F236" s="1">
        <v>1</v>
      </c>
      <c r="G236" s="1">
        <v>0</v>
      </c>
      <c r="H236" s="1">
        <v>0.25</v>
      </c>
      <c r="M236" s="1" t="s">
        <v>573</v>
      </c>
      <c r="N236" s="1" t="s">
        <v>800</v>
      </c>
      <c r="O236" s="1" t="s">
        <v>800</v>
      </c>
      <c r="P236" s="1">
        <v>6</v>
      </c>
      <c r="Q236" s="1">
        <v>7</v>
      </c>
      <c r="R236" s="1">
        <v>70</v>
      </c>
      <c r="S236" s="1" t="str">
        <f t="shared" si="30"/>
        <v>1-1</v>
      </c>
      <c r="T236" s="1" t="str">
        <f t="shared" si="30"/>
        <v>1-2</v>
      </c>
      <c r="U236" s="1" t="str">
        <f t="shared" si="30"/>
        <v>6-12</v>
      </c>
      <c r="V236" s="1">
        <f t="shared" si="31"/>
        <v>9</v>
      </c>
    </row>
    <row r="237" spans="1:22">
      <c r="A237" s="1" t="s">
        <v>689</v>
      </c>
      <c r="B237" s="1" t="s">
        <v>517</v>
      </c>
      <c r="C237" s="1" t="s">
        <v>39</v>
      </c>
      <c r="D237" s="1" t="s">
        <v>223</v>
      </c>
      <c r="E237" s="1">
        <v>1</v>
      </c>
      <c r="F237" s="1">
        <v>1</v>
      </c>
      <c r="G237" s="1">
        <v>0</v>
      </c>
      <c r="H237" s="1">
        <v>0.25</v>
      </c>
      <c r="M237" s="1" t="s">
        <v>547</v>
      </c>
      <c r="N237" s="1" t="s">
        <v>801</v>
      </c>
      <c r="O237" s="1" t="s">
        <v>801</v>
      </c>
      <c r="P237" s="1">
        <v>12</v>
      </c>
      <c r="Q237" s="1">
        <v>14</v>
      </c>
      <c r="R237" s="1">
        <v>70</v>
      </c>
      <c r="S237" s="1" t="str">
        <f t="shared" si="30"/>
        <v>1-1</v>
      </c>
      <c r="T237" s="1" t="str">
        <f t="shared" si="30"/>
        <v>1-2</v>
      </c>
      <c r="U237" s="1" t="str">
        <f t="shared" si="30"/>
        <v>6-12</v>
      </c>
      <c r="V237" s="1">
        <f t="shared" si="31"/>
        <v>9</v>
      </c>
    </row>
    <row r="238" spans="1:22">
      <c r="A238" s="1" t="s">
        <v>690</v>
      </c>
      <c r="B238" s="1" t="s">
        <v>513</v>
      </c>
      <c r="C238" s="1" t="s">
        <v>39</v>
      </c>
      <c r="D238" s="1" t="s">
        <v>224</v>
      </c>
      <c r="E238" s="1">
        <v>1</v>
      </c>
      <c r="F238" s="1">
        <v>1</v>
      </c>
      <c r="G238" s="1">
        <v>0</v>
      </c>
      <c r="H238" s="1">
        <v>0.25</v>
      </c>
      <c r="M238" s="1" t="s">
        <v>547</v>
      </c>
      <c r="N238" s="1" t="s">
        <v>802</v>
      </c>
      <c r="O238" s="1" t="s">
        <v>802</v>
      </c>
      <c r="P238" s="1">
        <v>19</v>
      </c>
      <c r="Q238" s="1">
        <v>21</v>
      </c>
      <c r="R238" s="1">
        <v>70</v>
      </c>
      <c r="S238" s="1" t="str">
        <f t="shared" si="30"/>
        <v>1-1</v>
      </c>
      <c r="T238" s="1" t="str">
        <f t="shared" si="30"/>
        <v>1-2</v>
      </c>
      <c r="U238" s="1" t="str">
        <f t="shared" si="30"/>
        <v>6-12</v>
      </c>
      <c r="V238" s="1">
        <f t="shared" si="31"/>
        <v>9</v>
      </c>
    </row>
    <row r="239" spans="1:22">
      <c r="A239" s="1" t="s">
        <v>691</v>
      </c>
      <c r="B239" s="1" t="s">
        <v>514</v>
      </c>
      <c r="C239" s="1" t="s">
        <v>39</v>
      </c>
      <c r="D239" s="1" t="s">
        <v>225</v>
      </c>
      <c r="E239" s="1">
        <v>1</v>
      </c>
      <c r="F239" s="1">
        <v>1</v>
      </c>
      <c r="G239" s="1">
        <v>0</v>
      </c>
      <c r="H239" s="1">
        <v>0.25</v>
      </c>
      <c r="M239" s="1" t="s">
        <v>547</v>
      </c>
      <c r="N239" s="1" t="s">
        <v>803</v>
      </c>
      <c r="O239" s="1" t="s">
        <v>803</v>
      </c>
      <c r="P239" s="1">
        <v>25</v>
      </c>
      <c r="Q239" s="1">
        <v>28</v>
      </c>
      <c r="R239" s="1">
        <v>70</v>
      </c>
      <c r="S239" s="1" t="str">
        <f t="shared" si="30"/>
        <v>1-1</v>
      </c>
      <c r="T239" s="1" t="str">
        <f t="shared" si="30"/>
        <v>1-2</v>
      </c>
      <c r="U239" s="1" t="str">
        <f t="shared" si="30"/>
        <v>6-12</v>
      </c>
      <c r="V239" s="1">
        <f t="shared" si="31"/>
        <v>9</v>
      </c>
    </row>
    <row r="240" spans="1:22">
      <c r="A240" s="1" t="s">
        <v>692</v>
      </c>
      <c r="B240" s="1" t="s">
        <v>515</v>
      </c>
      <c r="C240" s="1" t="s">
        <v>39</v>
      </c>
      <c r="D240" s="1" t="s">
        <v>226</v>
      </c>
      <c r="E240" s="1">
        <v>1</v>
      </c>
      <c r="F240" s="1">
        <v>1</v>
      </c>
      <c r="G240" s="1">
        <v>0</v>
      </c>
      <c r="H240" s="1">
        <v>0.25</v>
      </c>
      <c r="M240" s="1" t="s">
        <v>547</v>
      </c>
      <c r="N240" s="1" t="s">
        <v>804</v>
      </c>
      <c r="O240" s="1" t="s">
        <v>804</v>
      </c>
      <c r="P240" s="1">
        <v>31</v>
      </c>
      <c r="Q240" s="1">
        <v>35</v>
      </c>
      <c r="R240" s="1">
        <v>70</v>
      </c>
      <c r="S240" s="1" t="str">
        <f t="shared" si="30"/>
        <v>1-1</v>
      </c>
      <c r="T240" s="1" t="str">
        <f t="shared" si="30"/>
        <v>1-2</v>
      </c>
      <c r="U240" s="1" t="str">
        <f t="shared" si="30"/>
        <v>6-12</v>
      </c>
      <c r="V240" s="1">
        <f t="shared" si="31"/>
        <v>9</v>
      </c>
    </row>
    <row r="241" spans="1:22">
      <c r="A241" s="1" t="s">
        <v>693</v>
      </c>
      <c r="B241" s="1" t="s">
        <v>516</v>
      </c>
      <c r="C241" s="1" t="s">
        <v>39</v>
      </c>
      <c r="D241" s="1" t="s">
        <v>227</v>
      </c>
      <c r="E241" s="1">
        <v>1</v>
      </c>
      <c r="F241" s="1">
        <v>1</v>
      </c>
      <c r="G241" s="1">
        <v>0</v>
      </c>
      <c r="H241" s="1">
        <v>0.25</v>
      </c>
      <c r="M241" s="1" t="s">
        <v>547</v>
      </c>
      <c r="N241" s="1" t="s">
        <v>805</v>
      </c>
      <c r="O241" s="1" t="s">
        <v>805</v>
      </c>
      <c r="P241" s="1">
        <v>1</v>
      </c>
      <c r="Q241" s="1">
        <v>1</v>
      </c>
      <c r="R241" s="1">
        <v>70</v>
      </c>
      <c r="S241" s="1" t="str">
        <f t="shared" si="30"/>
        <v>1-1</v>
      </c>
      <c r="T241" s="1" t="str">
        <f t="shared" si="30"/>
        <v>1-2</v>
      </c>
      <c r="U241" s="1" t="str">
        <f t="shared" si="30"/>
        <v>6-12</v>
      </c>
      <c r="V241" s="1">
        <f t="shared" si="31"/>
        <v>9</v>
      </c>
    </row>
    <row r="242" spans="1:22">
      <c r="A242" s="1" t="s">
        <v>694</v>
      </c>
      <c r="B242" s="1" t="s">
        <v>518</v>
      </c>
      <c r="C242" s="1" t="s">
        <v>39</v>
      </c>
      <c r="D242" s="1" t="s">
        <v>228</v>
      </c>
      <c r="E242" s="1">
        <v>1</v>
      </c>
      <c r="F242" s="1">
        <v>1</v>
      </c>
      <c r="G242" s="1">
        <v>0</v>
      </c>
      <c r="H242" s="1">
        <v>0.25</v>
      </c>
      <c r="M242" s="1" t="s">
        <v>573</v>
      </c>
      <c r="N242" s="1" t="s">
        <v>806</v>
      </c>
      <c r="O242" s="1" t="s">
        <v>806</v>
      </c>
      <c r="P242" s="1">
        <v>6</v>
      </c>
      <c r="Q242" s="1">
        <v>7</v>
      </c>
      <c r="R242" s="1">
        <v>70</v>
      </c>
      <c r="S242" s="1" t="str">
        <f t="shared" si="30"/>
        <v>1-1</v>
      </c>
      <c r="T242" s="1" t="str">
        <f t="shared" si="30"/>
        <v>1-2</v>
      </c>
      <c r="U242" s="1" t="str">
        <f t="shared" si="30"/>
        <v>6-12</v>
      </c>
      <c r="V242" s="1">
        <f t="shared" si="31"/>
        <v>9</v>
      </c>
    </row>
    <row r="243" spans="1:22">
      <c r="A243" s="1" t="s">
        <v>695</v>
      </c>
      <c r="B243" s="1" t="s">
        <v>521</v>
      </c>
      <c r="C243" s="1" t="s">
        <v>39</v>
      </c>
      <c r="D243" s="1" t="s">
        <v>229</v>
      </c>
      <c r="E243" s="1">
        <v>1</v>
      </c>
      <c r="F243" s="1">
        <v>1</v>
      </c>
      <c r="G243" s="1">
        <v>0</v>
      </c>
      <c r="H243" s="1">
        <v>0.25</v>
      </c>
      <c r="M243" s="1" t="s">
        <v>547</v>
      </c>
      <c r="N243" s="1" t="s">
        <v>807</v>
      </c>
      <c r="O243" s="1" t="s">
        <v>807</v>
      </c>
      <c r="P243" s="1">
        <v>12</v>
      </c>
      <c r="Q243" s="1">
        <v>14</v>
      </c>
      <c r="R243" s="1">
        <v>70</v>
      </c>
      <c r="S243" s="1" t="str">
        <f t="shared" si="30"/>
        <v>1-1</v>
      </c>
      <c r="T243" s="1" t="str">
        <f t="shared" si="30"/>
        <v>1-2</v>
      </c>
      <c r="U243" s="1" t="str">
        <f t="shared" si="30"/>
        <v>6-12</v>
      </c>
      <c r="V243" s="1">
        <f t="shared" si="31"/>
        <v>9</v>
      </c>
    </row>
    <row r="244" spans="1:22">
      <c r="A244" s="1" t="s">
        <v>696</v>
      </c>
      <c r="B244" s="1" t="s">
        <v>519</v>
      </c>
      <c r="C244" s="1" t="s">
        <v>39</v>
      </c>
      <c r="D244" s="1" t="s">
        <v>230</v>
      </c>
      <c r="E244" s="1">
        <v>1</v>
      </c>
      <c r="F244" s="1">
        <v>1</v>
      </c>
      <c r="G244" s="1">
        <v>0</v>
      </c>
      <c r="H244" s="1">
        <v>0.25</v>
      </c>
      <c r="M244" s="1" t="s">
        <v>547</v>
      </c>
      <c r="N244" s="1" t="s">
        <v>808</v>
      </c>
      <c r="O244" s="1" t="s">
        <v>808</v>
      </c>
      <c r="P244" s="1">
        <v>19</v>
      </c>
      <c r="Q244" s="1">
        <v>21</v>
      </c>
      <c r="R244" s="1">
        <v>70</v>
      </c>
      <c r="S244" s="1" t="str">
        <f t="shared" si="30"/>
        <v>1-1</v>
      </c>
      <c r="T244" s="1" t="str">
        <f t="shared" si="30"/>
        <v>1-2</v>
      </c>
      <c r="U244" s="1" t="str">
        <f t="shared" si="30"/>
        <v>6-12</v>
      </c>
      <c r="V244" s="1">
        <f t="shared" si="31"/>
        <v>9</v>
      </c>
    </row>
    <row r="245" spans="1:22">
      <c r="A245" s="1" t="s">
        <v>697</v>
      </c>
      <c r="B245" s="1" t="s">
        <v>520</v>
      </c>
      <c r="C245" s="1" t="s">
        <v>39</v>
      </c>
      <c r="D245" s="1" t="s">
        <v>239</v>
      </c>
      <c r="E245" s="1">
        <v>1</v>
      </c>
      <c r="F245" s="1">
        <v>1</v>
      </c>
      <c r="G245" s="1">
        <v>0</v>
      </c>
      <c r="H245" s="1">
        <v>0.25</v>
      </c>
      <c r="M245" s="1" t="s">
        <v>547</v>
      </c>
      <c r="N245" s="1" t="s">
        <v>809</v>
      </c>
      <c r="O245" s="1" t="s">
        <v>809</v>
      </c>
      <c r="P245" s="1">
        <v>25</v>
      </c>
      <c r="Q245" s="1">
        <v>28</v>
      </c>
      <c r="R245" s="1">
        <v>70</v>
      </c>
      <c r="S245" s="1" t="str">
        <f t="shared" si="30"/>
        <v>1-1</v>
      </c>
      <c r="T245" s="1" t="str">
        <f t="shared" si="30"/>
        <v>1-2</v>
      </c>
      <c r="U245" s="1" t="str">
        <f t="shared" si="30"/>
        <v>6-12</v>
      </c>
      <c r="V245" s="1">
        <f t="shared" si="31"/>
        <v>9</v>
      </c>
    </row>
    <row r="246" spans="1:22">
      <c r="A246" s="1" t="s">
        <v>698</v>
      </c>
      <c r="B246" s="1" t="s">
        <v>522</v>
      </c>
      <c r="C246" s="1" t="s">
        <v>39</v>
      </c>
      <c r="D246" s="1" t="s">
        <v>240</v>
      </c>
      <c r="E246" s="1">
        <v>1</v>
      </c>
      <c r="F246" s="1">
        <v>1</v>
      </c>
      <c r="G246" s="1">
        <v>0</v>
      </c>
      <c r="H246" s="1">
        <v>0.25</v>
      </c>
      <c r="M246" s="1" t="s">
        <v>547</v>
      </c>
      <c r="N246" s="1" t="s">
        <v>810</v>
      </c>
      <c r="O246" s="1" t="s">
        <v>810</v>
      </c>
      <c r="P246" s="1">
        <v>31</v>
      </c>
      <c r="Q246" s="1">
        <v>35</v>
      </c>
      <c r="R246" s="1">
        <v>70</v>
      </c>
      <c r="S246" s="1" t="str">
        <f t="shared" si="30"/>
        <v>1-1</v>
      </c>
      <c r="T246" s="1" t="str">
        <f t="shared" si="30"/>
        <v>1-2</v>
      </c>
      <c r="U246" s="1" t="str">
        <f t="shared" si="30"/>
        <v>6-12</v>
      </c>
      <c r="V246" s="1">
        <f t="shared" si="31"/>
        <v>9</v>
      </c>
    </row>
    <row r="247" spans="1:22">
      <c r="A247" s="1" t="s">
        <v>699</v>
      </c>
      <c r="B247" s="1" t="s">
        <v>523</v>
      </c>
      <c r="C247" s="1" t="s">
        <v>39</v>
      </c>
      <c r="D247" s="1" t="s">
        <v>241</v>
      </c>
      <c r="E247" s="1">
        <v>1</v>
      </c>
      <c r="F247" s="1">
        <v>1</v>
      </c>
      <c r="G247" s="1">
        <v>0</v>
      </c>
      <c r="H247" s="1">
        <v>0.25</v>
      </c>
      <c r="M247" s="1" t="s">
        <v>547</v>
      </c>
      <c r="N247" s="1" t="s">
        <v>811</v>
      </c>
      <c r="O247" s="1" t="s">
        <v>811</v>
      </c>
      <c r="P247" s="1">
        <v>1</v>
      </c>
      <c r="Q247" s="1">
        <v>1</v>
      </c>
      <c r="R247" s="1">
        <v>70</v>
      </c>
      <c r="S247" s="1" t="str">
        <f t="shared" si="30"/>
        <v>1-1</v>
      </c>
      <c r="T247" s="1" t="str">
        <f t="shared" si="30"/>
        <v>1-2</v>
      </c>
      <c r="U247" s="1" t="str">
        <f t="shared" si="30"/>
        <v>6-12</v>
      </c>
      <c r="V247" s="1">
        <f t="shared" si="31"/>
        <v>9</v>
      </c>
    </row>
    <row r="248" spans="1:22">
      <c r="A248" s="1" t="s">
        <v>700</v>
      </c>
      <c r="B248" s="1" t="s">
        <v>524</v>
      </c>
      <c r="C248" s="1" t="s">
        <v>39</v>
      </c>
      <c r="D248" s="1" t="s">
        <v>242</v>
      </c>
      <c r="E248" s="1">
        <v>1</v>
      </c>
      <c r="F248" s="1">
        <v>1</v>
      </c>
      <c r="G248" s="1">
        <v>0</v>
      </c>
      <c r="H248" s="1">
        <v>0.25</v>
      </c>
      <c r="M248" s="1" t="s">
        <v>573</v>
      </c>
      <c r="N248" s="1" t="s">
        <v>812</v>
      </c>
      <c r="O248" s="1" t="s">
        <v>812</v>
      </c>
      <c r="P248" s="1">
        <v>6</v>
      </c>
      <c r="Q248" s="1">
        <v>7</v>
      </c>
      <c r="R248" s="1">
        <v>70</v>
      </c>
      <c r="S248" s="1" t="str">
        <f t="shared" si="30"/>
        <v>1-1</v>
      </c>
      <c r="T248" s="1" t="str">
        <f t="shared" si="30"/>
        <v>1-2</v>
      </c>
      <c r="U248" s="1" t="str">
        <f t="shared" si="30"/>
        <v>6-12</v>
      </c>
      <c r="V248" s="1">
        <f t="shared" si="31"/>
        <v>9</v>
      </c>
    </row>
    <row r="249" spans="1:22">
      <c r="A249" s="1" t="s">
        <v>701</v>
      </c>
      <c r="B249" s="1" t="s">
        <v>525</v>
      </c>
      <c r="C249" s="1" t="s">
        <v>39</v>
      </c>
      <c r="D249" s="1" t="s">
        <v>243</v>
      </c>
      <c r="E249" s="1">
        <v>1</v>
      </c>
      <c r="F249" s="1">
        <v>1</v>
      </c>
      <c r="G249" s="1">
        <v>0</v>
      </c>
      <c r="H249" s="1">
        <v>0.25</v>
      </c>
      <c r="M249" s="1" t="s">
        <v>547</v>
      </c>
      <c r="N249" s="1" t="s">
        <v>813</v>
      </c>
      <c r="O249" s="1" t="s">
        <v>813</v>
      </c>
      <c r="P249" s="1">
        <v>12</v>
      </c>
      <c r="Q249" s="1">
        <v>14</v>
      </c>
      <c r="R249" s="1">
        <v>70</v>
      </c>
      <c r="S249" s="1" t="str">
        <f t="shared" si="30"/>
        <v>1-1</v>
      </c>
      <c r="T249" s="1" t="str">
        <f t="shared" si="30"/>
        <v>1-2</v>
      </c>
      <c r="U249" s="1" t="str">
        <f t="shared" si="30"/>
        <v>6-12</v>
      </c>
      <c r="V249" s="1">
        <f t="shared" si="31"/>
        <v>9</v>
      </c>
    </row>
    <row r="250" spans="1:22">
      <c r="A250" s="1" t="s">
        <v>702</v>
      </c>
      <c r="B250" s="1" t="s">
        <v>526</v>
      </c>
      <c r="C250" s="1" t="s">
        <v>39</v>
      </c>
      <c r="D250" s="1" t="s">
        <v>244</v>
      </c>
      <c r="E250" s="1">
        <v>1</v>
      </c>
      <c r="F250" s="1">
        <v>1</v>
      </c>
      <c r="G250" s="1">
        <v>0</v>
      </c>
      <c r="H250" s="1">
        <v>0.25</v>
      </c>
      <c r="M250" s="1" t="s">
        <v>547</v>
      </c>
      <c r="N250" s="1" t="s">
        <v>814</v>
      </c>
      <c r="O250" s="1" t="s">
        <v>814</v>
      </c>
      <c r="P250" s="1">
        <v>19</v>
      </c>
      <c r="Q250" s="1">
        <v>21</v>
      </c>
      <c r="R250" s="1">
        <v>70</v>
      </c>
      <c r="S250" s="1" t="str">
        <f t="shared" si="30"/>
        <v>1-1</v>
      </c>
      <c r="T250" s="1" t="str">
        <f t="shared" si="30"/>
        <v>1-2</v>
      </c>
      <c r="U250" s="1" t="str">
        <f t="shared" si="30"/>
        <v>6-12</v>
      </c>
      <c r="V250" s="1">
        <f t="shared" si="31"/>
        <v>9</v>
      </c>
    </row>
    <row r="251" spans="1:22">
      <c r="A251" s="1" t="s">
        <v>703</v>
      </c>
      <c r="B251" s="1" t="s">
        <v>527</v>
      </c>
      <c r="C251" s="1" t="s">
        <v>39</v>
      </c>
      <c r="D251" s="1" t="s">
        <v>245</v>
      </c>
      <c r="E251" s="1">
        <v>1</v>
      </c>
      <c r="F251" s="1">
        <v>1</v>
      </c>
      <c r="G251" s="1">
        <v>0</v>
      </c>
      <c r="H251" s="1">
        <v>0.25</v>
      </c>
      <c r="M251" s="1" t="s">
        <v>547</v>
      </c>
      <c r="N251" s="1" t="s">
        <v>815</v>
      </c>
      <c r="O251" s="1" t="s">
        <v>815</v>
      </c>
      <c r="P251" s="1">
        <v>25</v>
      </c>
      <c r="Q251" s="1">
        <v>28</v>
      </c>
      <c r="R251" s="1">
        <v>70</v>
      </c>
      <c r="S251" s="1" t="str">
        <f t="shared" si="30"/>
        <v>1-1</v>
      </c>
      <c r="T251" s="1" t="str">
        <f t="shared" si="30"/>
        <v>1-2</v>
      </c>
      <c r="U251" s="1" t="str">
        <f t="shared" si="30"/>
        <v>6-12</v>
      </c>
      <c r="V251" s="1">
        <f t="shared" si="31"/>
        <v>9</v>
      </c>
    </row>
    <row r="252" spans="1:22">
      <c r="A252" s="1" t="s">
        <v>704</v>
      </c>
      <c r="B252" s="1" t="s">
        <v>528</v>
      </c>
      <c r="C252" s="1" t="s">
        <v>39</v>
      </c>
      <c r="D252" s="1" t="s">
        <v>246</v>
      </c>
      <c r="E252" s="1">
        <v>1</v>
      </c>
      <c r="F252" s="1">
        <v>1</v>
      </c>
      <c r="G252" s="1">
        <v>0</v>
      </c>
      <c r="H252" s="1">
        <v>0.25</v>
      </c>
      <c r="M252" s="1" t="s">
        <v>547</v>
      </c>
      <c r="N252" s="1" t="s">
        <v>816</v>
      </c>
      <c r="O252" s="1" t="s">
        <v>816</v>
      </c>
      <c r="P252" s="1">
        <v>31</v>
      </c>
      <c r="Q252" s="1">
        <v>35</v>
      </c>
      <c r="R252" s="1">
        <v>70</v>
      </c>
      <c r="S252" s="1" t="str">
        <f t="shared" si="30"/>
        <v>1-1</v>
      </c>
      <c r="T252" s="1" t="str">
        <f t="shared" si="30"/>
        <v>1-2</v>
      </c>
      <c r="U252" s="1" t="str">
        <f t="shared" si="30"/>
        <v>6-12</v>
      </c>
      <c r="V252" s="1">
        <f t="shared" si="31"/>
        <v>9</v>
      </c>
    </row>
    <row r="253" spans="1:22">
      <c r="A253" s="1" t="s">
        <v>705</v>
      </c>
      <c r="B253" s="1" t="s">
        <v>493</v>
      </c>
      <c r="C253" s="1" t="s">
        <v>39</v>
      </c>
      <c r="D253" s="1" t="s">
        <v>203</v>
      </c>
      <c r="E253" s="1">
        <v>1</v>
      </c>
      <c r="F253" s="1">
        <v>1</v>
      </c>
      <c r="G253" s="1">
        <v>0</v>
      </c>
      <c r="H253" s="1">
        <v>0.5</v>
      </c>
      <c r="M253" s="1" t="s">
        <v>547</v>
      </c>
      <c r="N253" s="1" t="s">
        <v>781</v>
      </c>
      <c r="O253" s="1" t="s">
        <v>781</v>
      </c>
      <c r="P253" s="1">
        <v>1</v>
      </c>
      <c r="Q253" s="1">
        <v>1</v>
      </c>
      <c r="R253" s="1">
        <v>70</v>
      </c>
      <c r="S253" s="1" t="str">
        <f t="shared" si="30"/>
        <v>1-1</v>
      </c>
      <c r="T253" s="1" t="str">
        <f t="shared" si="30"/>
        <v>1-3</v>
      </c>
      <c r="U253" s="1" t="str">
        <f t="shared" si="30"/>
        <v>6-18</v>
      </c>
      <c r="V253" s="1">
        <f t="shared" si="31"/>
        <v>12</v>
      </c>
    </row>
    <row r="254" spans="1:22">
      <c r="A254" s="1" t="s">
        <v>706</v>
      </c>
      <c r="B254" s="1" t="s">
        <v>494</v>
      </c>
      <c r="C254" s="1" t="s">
        <v>39</v>
      </c>
      <c r="D254" s="1" t="s">
        <v>204</v>
      </c>
      <c r="E254" s="1">
        <v>1</v>
      </c>
      <c r="F254" s="1">
        <v>1</v>
      </c>
      <c r="G254" s="1">
        <v>0</v>
      </c>
      <c r="H254" s="1">
        <v>0.5</v>
      </c>
      <c r="M254" s="1" t="s">
        <v>573</v>
      </c>
      <c r="N254" s="1" t="s">
        <v>782</v>
      </c>
      <c r="O254" s="1" t="s">
        <v>782</v>
      </c>
      <c r="P254" s="1">
        <v>6</v>
      </c>
      <c r="Q254" s="1">
        <v>7</v>
      </c>
      <c r="R254" s="1">
        <v>70</v>
      </c>
      <c r="S254" s="1" t="str">
        <f t="shared" si="30"/>
        <v>1-1</v>
      </c>
      <c r="T254" s="1" t="str">
        <f t="shared" si="30"/>
        <v>1-3</v>
      </c>
      <c r="U254" s="1" t="str">
        <f t="shared" si="30"/>
        <v>6-18</v>
      </c>
      <c r="V254" s="1">
        <f t="shared" ref="V254:V288" si="32">_xlfn.LET(_xlpm.a,($E254+U$3*$G254)*(1+U$2),_xlpm.b,($F254+U$3*$H254)*(1+U$2),_xlpm.a/2+_xlpm.b/2)</f>
        <v>12</v>
      </c>
    </row>
    <row r="255" spans="1:22">
      <c r="A255" s="1" t="s">
        <v>707</v>
      </c>
      <c r="B255" s="1" t="s">
        <v>495</v>
      </c>
      <c r="C255" s="1" t="s">
        <v>39</v>
      </c>
      <c r="D255" s="1" t="s">
        <v>205</v>
      </c>
      <c r="E255" s="1">
        <v>1</v>
      </c>
      <c r="F255" s="1">
        <v>1</v>
      </c>
      <c r="G255" s="1">
        <v>0</v>
      </c>
      <c r="H255" s="1">
        <v>0.5</v>
      </c>
      <c r="M255" s="1" t="s">
        <v>547</v>
      </c>
      <c r="N255" s="1" t="s">
        <v>783</v>
      </c>
      <c r="O255" s="1" t="s">
        <v>783</v>
      </c>
      <c r="P255" s="1">
        <v>12</v>
      </c>
      <c r="Q255" s="1">
        <v>14</v>
      </c>
      <c r="R255" s="1">
        <v>70</v>
      </c>
      <c r="S255" s="1" t="str">
        <f t="shared" si="30"/>
        <v>1-1</v>
      </c>
      <c r="T255" s="1" t="str">
        <f t="shared" si="30"/>
        <v>1-3</v>
      </c>
      <c r="U255" s="1" t="str">
        <f t="shared" si="30"/>
        <v>6-18</v>
      </c>
      <c r="V255" s="1">
        <f t="shared" si="32"/>
        <v>12</v>
      </c>
    </row>
    <row r="256" spans="1:22">
      <c r="A256" s="1" t="s">
        <v>708</v>
      </c>
      <c r="B256" s="1" t="s">
        <v>496</v>
      </c>
      <c r="C256" s="1" t="s">
        <v>39</v>
      </c>
      <c r="D256" s="1" t="s">
        <v>206</v>
      </c>
      <c r="E256" s="1">
        <v>1</v>
      </c>
      <c r="F256" s="1">
        <v>1</v>
      </c>
      <c r="G256" s="1">
        <v>0</v>
      </c>
      <c r="H256" s="1">
        <v>0.5</v>
      </c>
      <c r="M256" s="1" t="s">
        <v>547</v>
      </c>
      <c r="N256" s="1" t="s">
        <v>784</v>
      </c>
      <c r="O256" s="1" t="s">
        <v>784</v>
      </c>
      <c r="P256" s="1">
        <v>19</v>
      </c>
      <c r="Q256" s="1">
        <v>21</v>
      </c>
      <c r="R256" s="1">
        <v>70</v>
      </c>
      <c r="S256" s="1" t="str">
        <f t="shared" si="30"/>
        <v>1-1</v>
      </c>
      <c r="T256" s="1" t="str">
        <f t="shared" si="30"/>
        <v>1-3</v>
      </c>
      <c r="U256" s="1" t="str">
        <f t="shared" si="30"/>
        <v>6-18</v>
      </c>
      <c r="V256" s="1">
        <f t="shared" si="32"/>
        <v>12</v>
      </c>
    </row>
    <row r="257" spans="1:22">
      <c r="A257" s="1" t="s">
        <v>709</v>
      </c>
      <c r="B257" s="1" t="s">
        <v>497</v>
      </c>
      <c r="C257" s="1" t="s">
        <v>39</v>
      </c>
      <c r="D257" s="1" t="s">
        <v>207</v>
      </c>
      <c r="E257" s="1">
        <v>1</v>
      </c>
      <c r="F257" s="1">
        <v>1</v>
      </c>
      <c r="G257" s="1">
        <v>0</v>
      </c>
      <c r="H257" s="1">
        <v>0.5</v>
      </c>
      <c r="M257" s="1" t="s">
        <v>547</v>
      </c>
      <c r="N257" s="1" t="s">
        <v>785</v>
      </c>
      <c r="O257" s="1" t="s">
        <v>785</v>
      </c>
      <c r="P257" s="1">
        <v>25</v>
      </c>
      <c r="Q257" s="1">
        <v>28</v>
      </c>
      <c r="R257" s="1">
        <v>70</v>
      </c>
      <c r="S257" s="1" t="str">
        <f t="shared" si="30"/>
        <v>1-1</v>
      </c>
      <c r="T257" s="1" t="str">
        <f t="shared" si="30"/>
        <v>1-3</v>
      </c>
      <c r="U257" s="1" t="str">
        <f t="shared" si="30"/>
        <v>6-18</v>
      </c>
      <c r="V257" s="1">
        <f t="shared" si="32"/>
        <v>12</v>
      </c>
    </row>
    <row r="258" spans="1:22">
      <c r="A258" s="1" t="s">
        <v>710</v>
      </c>
      <c r="B258" s="1" t="s">
        <v>498</v>
      </c>
      <c r="C258" s="1" t="s">
        <v>39</v>
      </c>
      <c r="D258" s="1" t="s">
        <v>208</v>
      </c>
      <c r="E258" s="1">
        <v>1</v>
      </c>
      <c r="F258" s="1">
        <v>1</v>
      </c>
      <c r="G258" s="1">
        <v>0</v>
      </c>
      <c r="H258" s="1">
        <v>0.5</v>
      </c>
      <c r="M258" s="1" t="s">
        <v>547</v>
      </c>
      <c r="N258" s="1" t="s">
        <v>786</v>
      </c>
      <c r="O258" s="1" t="s">
        <v>786</v>
      </c>
      <c r="P258" s="1">
        <v>31</v>
      </c>
      <c r="Q258" s="1">
        <v>35</v>
      </c>
      <c r="R258" s="1">
        <v>70</v>
      </c>
      <c r="S258" s="1" t="str">
        <f t="shared" si="30"/>
        <v>1-1</v>
      </c>
      <c r="T258" s="1" t="str">
        <f t="shared" si="30"/>
        <v>1-3</v>
      </c>
      <c r="U258" s="1" t="str">
        <f t="shared" si="30"/>
        <v>6-18</v>
      </c>
      <c r="V258" s="1">
        <f t="shared" si="32"/>
        <v>12</v>
      </c>
    </row>
    <row r="259" spans="1:22">
      <c r="A259" s="1" t="s">
        <v>711</v>
      </c>
      <c r="B259" s="1" t="s">
        <v>499</v>
      </c>
      <c r="C259" s="1" t="s">
        <v>39</v>
      </c>
      <c r="D259" s="1" t="s">
        <v>209</v>
      </c>
      <c r="E259" s="1">
        <v>1</v>
      </c>
      <c r="F259" s="1">
        <v>1</v>
      </c>
      <c r="G259" s="1">
        <v>0</v>
      </c>
      <c r="H259" s="1">
        <v>0.5</v>
      </c>
      <c r="M259" s="1" t="s">
        <v>547</v>
      </c>
      <c r="N259" s="1" t="s">
        <v>787</v>
      </c>
      <c r="O259" s="1" t="s">
        <v>787</v>
      </c>
      <c r="P259" s="1">
        <v>1</v>
      </c>
      <c r="Q259" s="1">
        <v>1</v>
      </c>
      <c r="R259" s="1">
        <v>70</v>
      </c>
      <c r="S259" s="1" t="str">
        <f t="shared" si="30"/>
        <v>1-1</v>
      </c>
      <c r="T259" s="1" t="str">
        <f t="shared" si="30"/>
        <v>1-3</v>
      </c>
      <c r="U259" s="1" t="str">
        <f t="shared" si="30"/>
        <v>6-18</v>
      </c>
      <c r="V259" s="1">
        <f t="shared" si="32"/>
        <v>12</v>
      </c>
    </row>
    <row r="260" spans="1:22">
      <c r="A260" s="1" t="s">
        <v>712</v>
      </c>
      <c r="B260" s="1" t="s">
        <v>500</v>
      </c>
      <c r="C260" s="1" t="s">
        <v>39</v>
      </c>
      <c r="D260" s="1" t="s">
        <v>210</v>
      </c>
      <c r="E260" s="1">
        <v>1</v>
      </c>
      <c r="F260" s="1">
        <v>1</v>
      </c>
      <c r="G260" s="1">
        <v>0</v>
      </c>
      <c r="H260" s="1">
        <v>0.5</v>
      </c>
      <c r="M260" s="1" t="s">
        <v>573</v>
      </c>
      <c r="N260" s="1" t="s">
        <v>788</v>
      </c>
      <c r="O260" s="1" t="s">
        <v>788</v>
      </c>
      <c r="P260" s="1">
        <v>6</v>
      </c>
      <c r="Q260" s="1">
        <v>7</v>
      </c>
      <c r="R260" s="1">
        <v>70</v>
      </c>
      <c r="S260" s="1" t="str">
        <f t="shared" si="30"/>
        <v>1-1</v>
      </c>
      <c r="T260" s="1" t="str">
        <f t="shared" si="30"/>
        <v>1-3</v>
      </c>
      <c r="U260" s="1" t="str">
        <f t="shared" si="30"/>
        <v>6-18</v>
      </c>
      <c r="V260" s="1">
        <f t="shared" si="32"/>
        <v>12</v>
      </c>
    </row>
    <row r="261" spans="1:22">
      <c r="A261" s="1" t="s">
        <v>713</v>
      </c>
      <c r="B261" s="1" t="s">
        <v>501</v>
      </c>
      <c r="C261" s="1" t="s">
        <v>39</v>
      </c>
      <c r="D261" s="1" t="s">
        <v>211</v>
      </c>
      <c r="E261" s="1">
        <v>1</v>
      </c>
      <c r="F261" s="1">
        <v>1</v>
      </c>
      <c r="G261" s="1">
        <v>0</v>
      </c>
      <c r="H261" s="1">
        <v>0.5</v>
      </c>
      <c r="M261" s="1" t="s">
        <v>547</v>
      </c>
      <c r="N261" s="1" t="s">
        <v>789</v>
      </c>
      <c r="O261" s="1" t="s">
        <v>789</v>
      </c>
      <c r="P261" s="1">
        <v>12</v>
      </c>
      <c r="Q261" s="1">
        <v>14</v>
      </c>
      <c r="R261" s="1">
        <v>70</v>
      </c>
      <c r="S261" s="1" t="str">
        <f t="shared" si="30"/>
        <v>1-1</v>
      </c>
      <c r="T261" s="1" t="str">
        <f t="shared" si="30"/>
        <v>1-3</v>
      </c>
      <c r="U261" s="1" t="str">
        <f t="shared" si="30"/>
        <v>6-18</v>
      </c>
      <c r="V261" s="1">
        <f t="shared" si="32"/>
        <v>12</v>
      </c>
    </row>
    <row r="262" spans="1:22">
      <c r="A262" s="1" t="s">
        <v>714</v>
      </c>
      <c r="B262" s="1" t="s">
        <v>502</v>
      </c>
      <c r="C262" s="1" t="s">
        <v>39</v>
      </c>
      <c r="D262" s="1" t="s">
        <v>212</v>
      </c>
      <c r="E262" s="1">
        <v>1</v>
      </c>
      <c r="F262" s="1">
        <v>1</v>
      </c>
      <c r="G262" s="1">
        <v>0</v>
      </c>
      <c r="H262" s="1">
        <v>0.5</v>
      </c>
      <c r="M262" s="1" t="s">
        <v>547</v>
      </c>
      <c r="N262" s="1" t="s">
        <v>790</v>
      </c>
      <c r="O262" s="1" t="s">
        <v>790</v>
      </c>
      <c r="P262" s="1">
        <v>19</v>
      </c>
      <c r="Q262" s="1">
        <v>21</v>
      </c>
      <c r="R262" s="1">
        <v>70</v>
      </c>
      <c r="S262" s="1" t="str">
        <f t="shared" si="30"/>
        <v>1-1</v>
      </c>
      <c r="T262" s="1" t="str">
        <f t="shared" si="30"/>
        <v>1-3</v>
      </c>
      <c r="U262" s="1" t="str">
        <f t="shared" si="30"/>
        <v>6-18</v>
      </c>
      <c r="V262" s="1">
        <f t="shared" si="32"/>
        <v>12</v>
      </c>
    </row>
    <row r="263" spans="1:22">
      <c r="A263" s="1" t="s">
        <v>715</v>
      </c>
      <c r="B263" s="1" t="s">
        <v>503</v>
      </c>
      <c r="C263" s="1" t="s">
        <v>39</v>
      </c>
      <c r="D263" s="1" t="s">
        <v>213</v>
      </c>
      <c r="E263" s="1">
        <v>1</v>
      </c>
      <c r="F263" s="1">
        <v>1</v>
      </c>
      <c r="G263" s="1">
        <v>0</v>
      </c>
      <c r="H263" s="1">
        <v>0.5</v>
      </c>
      <c r="M263" s="1" t="s">
        <v>547</v>
      </c>
      <c r="N263" s="1" t="s">
        <v>791</v>
      </c>
      <c r="O263" s="1" t="s">
        <v>791</v>
      </c>
      <c r="P263" s="1">
        <v>25</v>
      </c>
      <c r="Q263" s="1">
        <v>28</v>
      </c>
      <c r="R263" s="1">
        <v>70</v>
      </c>
      <c r="S263" s="1" t="str">
        <f t="shared" si="30"/>
        <v>1-1</v>
      </c>
      <c r="T263" s="1" t="str">
        <f t="shared" si="30"/>
        <v>1-3</v>
      </c>
      <c r="U263" s="1" t="str">
        <f t="shared" si="30"/>
        <v>6-18</v>
      </c>
      <c r="V263" s="1">
        <f t="shared" si="32"/>
        <v>12</v>
      </c>
    </row>
    <row r="264" spans="1:22">
      <c r="A264" s="1" t="s">
        <v>716</v>
      </c>
      <c r="B264" s="1" t="s">
        <v>504</v>
      </c>
      <c r="C264" s="1" t="s">
        <v>39</v>
      </c>
      <c r="D264" s="1" t="s">
        <v>214</v>
      </c>
      <c r="E264" s="1">
        <v>1</v>
      </c>
      <c r="F264" s="1">
        <v>1</v>
      </c>
      <c r="G264" s="1">
        <v>0</v>
      </c>
      <c r="H264" s="1">
        <v>0.5</v>
      </c>
      <c r="M264" s="1" t="s">
        <v>547</v>
      </c>
      <c r="N264" s="1" t="s">
        <v>792</v>
      </c>
      <c r="O264" s="1" t="s">
        <v>792</v>
      </c>
      <c r="P264" s="1">
        <v>31</v>
      </c>
      <c r="Q264" s="1">
        <v>35</v>
      </c>
      <c r="R264" s="1">
        <v>70</v>
      </c>
      <c r="S264" s="1" t="str">
        <f t="shared" si="30"/>
        <v>1-1</v>
      </c>
      <c r="T264" s="1" t="str">
        <f t="shared" si="30"/>
        <v>1-3</v>
      </c>
      <c r="U264" s="1" t="str">
        <f t="shared" si="30"/>
        <v>6-18</v>
      </c>
      <c r="V264" s="1">
        <f t="shared" si="32"/>
        <v>12</v>
      </c>
    </row>
    <row r="265" spans="1:22">
      <c r="A265" s="1" t="s">
        <v>717</v>
      </c>
      <c r="B265" s="1" t="s">
        <v>505</v>
      </c>
      <c r="C265" s="1" t="s">
        <v>39</v>
      </c>
      <c r="D265" s="1" t="s">
        <v>215</v>
      </c>
      <c r="E265" s="1">
        <v>1</v>
      </c>
      <c r="F265" s="1">
        <v>1</v>
      </c>
      <c r="G265" s="1">
        <v>0</v>
      </c>
      <c r="H265" s="1">
        <v>0.5</v>
      </c>
      <c r="M265" s="1" t="s">
        <v>547</v>
      </c>
      <c r="N265" s="1" t="s">
        <v>793</v>
      </c>
      <c r="O265" s="1" t="s">
        <v>793</v>
      </c>
      <c r="P265" s="1">
        <v>1</v>
      </c>
      <c r="Q265" s="1">
        <v>1</v>
      </c>
      <c r="R265" s="1">
        <v>70</v>
      </c>
      <c r="S265" s="1" t="str">
        <f t="shared" si="30"/>
        <v>1-1</v>
      </c>
      <c r="T265" s="1" t="str">
        <f t="shared" si="30"/>
        <v>1-3</v>
      </c>
      <c r="U265" s="1" t="str">
        <f t="shared" si="30"/>
        <v>6-18</v>
      </c>
      <c r="V265" s="1">
        <f t="shared" si="32"/>
        <v>12</v>
      </c>
    </row>
    <row r="266" spans="1:22">
      <c r="A266" s="1" t="s">
        <v>718</v>
      </c>
      <c r="B266" s="1" t="s">
        <v>506</v>
      </c>
      <c r="C266" s="1" t="s">
        <v>39</v>
      </c>
      <c r="D266" s="1" t="s">
        <v>216</v>
      </c>
      <c r="E266" s="1">
        <v>1</v>
      </c>
      <c r="F266" s="1">
        <v>1</v>
      </c>
      <c r="G266" s="1">
        <v>0</v>
      </c>
      <c r="H266" s="1">
        <v>0.5</v>
      </c>
      <c r="M266" s="1" t="s">
        <v>573</v>
      </c>
      <c r="N266" s="1" t="s">
        <v>794</v>
      </c>
      <c r="O266" s="1" t="s">
        <v>794</v>
      </c>
      <c r="P266" s="1">
        <v>6</v>
      </c>
      <c r="Q266" s="1">
        <v>7</v>
      </c>
      <c r="R266" s="1">
        <v>70</v>
      </c>
      <c r="S266" s="1" t="str">
        <f t="shared" si="30"/>
        <v>1-1</v>
      </c>
      <c r="T266" s="1" t="str">
        <f t="shared" si="30"/>
        <v>1-3</v>
      </c>
      <c r="U266" s="1" t="str">
        <f t="shared" si="30"/>
        <v>6-18</v>
      </c>
      <c r="V266" s="1">
        <f t="shared" si="32"/>
        <v>12</v>
      </c>
    </row>
    <row r="267" spans="1:22">
      <c r="A267" s="1" t="s">
        <v>719</v>
      </c>
      <c r="B267" s="1" t="s">
        <v>507</v>
      </c>
      <c r="C267" s="1" t="s">
        <v>39</v>
      </c>
      <c r="D267" s="1" t="s">
        <v>217</v>
      </c>
      <c r="E267" s="1">
        <v>1</v>
      </c>
      <c r="F267" s="1">
        <v>1</v>
      </c>
      <c r="G267" s="1">
        <v>0</v>
      </c>
      <c r="H267" s="1">
        <v>0.5</v>
      </c>
      <c r="M267" s="1" t="s">
        <v>547</v>
      </c>
      <c r="N267" s="1" t="s">
        <v>795</v>
      </c>
      <c r="O267" s="1" t="s">
        <v>795</v>
      </c>
      <c r="P267" s="1">
        <v>12</v>
      </c>
      <c r="Q267" s="1">
        <v>14</v>
      </c>
      <c r="R267" s="1">
        <v>70</v>
      </c>
      <c r="S267" s="1" t="str">
        <f t="shared" si="30"/>
        <v>1-1</v>
      </c>
      <c r="T267" s="1" t="str">
        <f t="shared" si="30"/>
        <v>1-3</v>
      </c>
      <c r="U267" s="1" t="str">
        <f t="shared" si="30"/>
        <v>6-18</v>
      </c>
      <c r="V267" s="1">
        <f t="shared" si="32"/>
        <v>12</v>
      </c>
    </row>
    <row r="268" spans="1:22">
      <c r="A268" s="1" t="s">
        <v>720</v>
      </c>
      <c r="B268" s="1" t="s">
        <v>508</v>
      </c>
      <c r="C268" s="1" t="s">
        <v>39</v>
      </c>
      <c r="D268" s="1" t="s">
        <v>218</v>
      </c>
      <c r="E268" s="1">
        <v>1</v>
      </c>
      <c r="F268" s="1">
        <v>1</v>
      </c>
      <c r="G268" s="1">
        <v>0</v>
      </c>
      <c r="H268" s="1">
        <v>0.5</v>
      </c>
      <c r="M268" s="1" t="s">
        <v>547</v>
      </c>
      <c r="N268" s="1" t="s">
        <v>796</v>
      </c>
      <c r="O268" s="1" t="s">
        <v>796</v>
      </c>
      <c r="P268" s="1">
        <v>19</v>
      </c>
      <c r="Q268" s="1">
        <v>21</v>
      </c>
      <c r="R268" s="1">
        <v>70</v>
      </c>
      <c r="S268" s="1" t="str">
        <f t="shared" si="30"/>
        <v>1-1</v>
      </c>
      <c r="T268" s="1" t="str">
        <f t="shared" si="30"/>
        <v>1-3</v>
      </c>
      <c r="U268" s="1" t="str">
        <f t="shared" si="30"/>
        <v>6-18</v>
      </c>
      <c r="V268" s="1">
        <f t="shared" si="32"/>
        <v>12</v>
      </c>
    </row>
    <row r="269" spans="1:22">
      <c r="A269" s="1" t="s">
        <v>721</v>
      </c>
      <c r="B269" s="1" t="s">
        <v>509</v>
      </c>
      <c r="C269" s="1" t="s">
        <v>39</v>
      </c>
      <c r="D269" s="1" t="s">
        <v>219</v>
      </c>
      <c r="E269" s="1">
        <v>1</v>
      </c>
      <c r="F269" s="1">
        <v>1</v>
      </c>
      <c r="G269" s="1">
        <v>0</v>
      </c>
      <c r="H269" s="1">
        <v>0.5</v>
      </c>
      <c r="M269" s="1" t="s">
        <v>547</v>
      </c>
      <c r="N269" s="1" t="s">
        <v>797</v>
      </c>
      <c r="O269" s="1" t="s">
        <v>797</v>
      </c>
      <c r="P269" s="1">
        <v>25</v>
      </c>
      <c r="Q269" s="1">
        <v>28</v>
      </c>
      <c r="R269" s="1">
        <v>70</v>
      </c>
      <c r="S269" s="1" t="str">
        <f t="shared" si="30"/>
        <v>1-1</v>
      </c>
      <c r="T269" s="1" t="str">
        <f t="shared" si="30"/>
        <v>1-3</v>
      </c>
      <c r="U269" s="1" t="str">
        <f t="shared" si="30"/>
        <v>6-18</v>
      </c>
      <c r="V269" s="1">
        <f t="shared" si="32"/>
        <v>12</v>
      </c>
    </row>
    <row r="270" spans="1:22">
      <c r="A270" s="1" t="s">
        <v>722</v>
      </c>
      <c r="B270" s="1" t="s">
        <v>510</v>
      </c>
      <c r="C270" s="1" t="s">
        <v>39</v>
      </c>
      <c r="D270" s="1" t="s">
        <v>220</v>
      </c>
      <c r="E270" s="1">
        <v>1</v>
      </c>
      <c r="F270" s="1">
        <v>1</v>
      </c>
      <c r="G270" s="1">
        <v>0</v>
      </c>
      <c r="H270" s="1">
        <v>0.5</v>
      </c>
      <c r="M270" s="1" t="s">
        <v>547</v>
      </c>
      <c r="N270" s="1" t="s">
        <v>798</v>
      </c>
      <c r="O270" s="1" t="s">
        <v>798</v>
      </c>
      <c r="P270" s="1">
        <v>31</v>
      </c>
      <c r="Q270" s="1">
        <v>35</v>
      </c>
      <c r="R270" s="1">
        <v>70</v>
      </c>
      <c r="S270" s="1" t="str">
        <f t="shared" si="30"/>
        <v>1-1</v>
      </c>
      <c r="T270" s="1" t="str">
        <f t="shared" si="30"/>
        <v>1-3</v>
      </c>
      <c r="U270" s="1" t="str">
        <f t="shared" si="30"/>
        <v>6-18</v>
      </c>
      <c r="V270" s="1">
        <f t="shared" si="32"/>
        <v>12</v>
      </c>
    </row>
    <row r="271" spans="1:22">
      <c r="A271" s="1" t="s">
        <v>723</v>
      </c>
      <c r="B271" s="1" t="s">
        <v>511</v>
      </c>
      <c r="C271" s="1" t="s">
        <v>39</v>
      </c>
      <c r="D271" s="1" t="s">
        <v>221</v>
      </c>
      <c r="E271" s="1">
        <v>1</v>
      </c>
      <c r="F271" s="1">
        <v>1</v>
      </c>
      <c r="G271" s="1">
        <v>0</v>
      </c>
      <c r="H271" s="1">
        <v>0.5</v>
      </c>
      <c r="M271" s="1" t="s">
        <v>547</v>
      </c>
      <c r="N271" s="1" t="s">
        <v>799</v>
      </c>
      <c r="O271" s="1" t="s">
        <v>799</v>
      </c>
      <c r="P271" s="1">
        <v>1</v>
      </c>
      <c r="Q271" s="1">
        <v>1</v>
      </c>
      <c r="R271" s="1">
        <v>70</v>
      </c>
      <c r="S271" s="1" t="str">
        <f t="shared" si="30"/>
        <v>1-1</v>
      </c>
      <c r="T271" s="1" t="str">
        <f t="shared" si="30"/>
        <v>1-3</v>
      </c>
      <c r="U271" s="1" t="str">
        <f t="shared" si="30"/>
        <v>6-18</v>
      </c>
      <c r="V271" s="1">
        <f t="shared" si="32"/>
        <v>12</v>
      </c>
    </row>
    <row r="272" spans="1:22">
      <c r="A272" s="1" t="s">
        <v>724</v>
      </c>
      <c r="B272" s="1" t="s">
        <v>512</v>
      </c>
      <c r="C272" s="1" t="s">
        <v>39</v>
      </c>
      <c r="D272" s="1" t="s">
        <v>222</v>
      </c>
      <c r="E272" s="1">
        <v>1</v>
      </c>
      <c r="F272" s="1">
        <v>1</v>
      </c>
      <c r="G272" s="1">
        <v>0</v>
      </c>
      <c r="H272" s="1">
        <v>0.5</v>
      </c>
      <c r="M272" s="1" t="s">
        <v>573</v>
      </c>
      <c r="N272" s="1" t="s">
        <v>800</v>
      </c>
      <c r="O272" s="1" t="s">
        <v>800</v>
      </c>
      <c r="P272" s="1">
        <v>6</v>
      </c>
      <c r="Q272" s="1">
        <v>7</v>
      </c>
      <c r="R272" s="1">
        <v>70</v>
      </c>
      <c r="S272" s="1" t="str">
        <f t="shared" si="30"/>
        <v>1-1</v>
      </c>
      <c r="T272" s="1" t="str">
        <f t="shared" si="30"/>
        <v>1-3</v>
      </c>
      <c r="U272" s="1" t="str">
        <f t="shared" si="30"/>
        <v>6-18</v>
      </c>
      <c r="V272" s="1">
        <f t="shared" si="32"/>
        <v>12</v>
      </c>
    </row>
    <row r="273" spans="1:22">
      <c r="A273" s="1" t="s">
        <v>725</v>
      </c>
      <c r="B273" s="1" t="s">
        <v>517</v>
      </c>
      <c r="C273" s="1" t="s">
        <v>39</v>
      </c>
      <c r="D273" s="1" t="s">
        <v>223</v>
      </c>
      <c r="E273" s="1">
        <v>1</v>
      </c>
      <c r="F273" s="1">
        <v>1</v>
      </c>
      <c r="G273" s="1">
        <v>0</v>
      </c>
      <c r="H273" s="1">
        <v>0.5</v>
      </c>
      <c r="M273" s="1" t="s">
        <v>547</v>
      </c>
      <c r="N273" s="1" t="s">
        <v>801</v>
      </c>
      <c r="O273" s="1" t="s">
        <v>801</v>
      </c>
      <c r="P273" s="1">
        <v>12</v>
      </c>
      <c r="Q273" s="1">
        <v>14</v>
      </c>
      <c r="R273" s="1">
        <v>70</v>
      </c>
      <c r="S273" s="1" t="str">
        <f t="shared" si="30"/>
        <v>1-1</v>
      </c>
      <c r="T273" s="1" t="str">
        <f t="shared" si="30"/>
        <v>1-3</v>
      </c>
      <c r="U273" s="1" t="str">
        <f t="shared" si="30"/>
        <v>6-18</v>
      </c>
      <c r="V273" s="1">
        <f t="shared" si="32"/>
        <v>12</v>
      </c>
    </row>
    <row r="274" spans="1:22">
      <c r="A274" s="1" t="s">
        <v>726</v>
      </c>
      <c r="B274" s="1" t="s">
        <v>513</v>
      </c>
      <c r="C274" s="1" t="s">
        <v>39</v>
      </c>
      <c r="D274" s="1" t="s">
        <v>224</v>
      </c>
      <c r="E274" s="1">
        <v>1</v>
      </c>
      <c r="F274" s="1">
        <v>1</v>
      </c>
      <c r="G274" s="1">
        <v>0</v>
      </c>
      <c r="H274" s="1">
        <v>0.5</v>
      </c>
      <c r="M274" s="1" t="s">
        <v>547</v>
      </c>
      <c r="N274" s="1" t="s">
        <v>802</v>
      </c>
      <c r="O274" s="1" t="s">
        <v>802</v>
      </c>
      <c r="P274" s="1">
        <v>19</v>
      </c>
      <c r="Q274" s="1">
        <v>21</v>
      </c>
      <c r="R274" s="1">
        <v>70</v>
      </c>
      <c r="S274" s="1" t="str">
        <f t="shared" si="30"/>
        <v>1-1</v>
      </c>
      <c r="T274" s="1" t="str">
        <f t="shared" si="30"/>
        <v>1-3</v>
      </c>
      <c r="U274" s="1" t="str">
        <f t="shared" si="30"/>
        <v>6-18</v>
      </c>
      <c r="V274" s="1">
        <f t="shared" si="32"/>
        <v>12</v>
      </c>
    </row>
    <row r="275" spans="1:22">
      <c r="A275" s="1" t="s">
        <v>727</v>
      </c>
      <c r="B275" s="1" t="s">
        <v>514</v>
      </c>
      <c r="C275" s="1" t="s">
        <v>39</v>
      </c>
      <c r="D275" s="1" t="s">
        <v>225</v>
      </c>
      <c r="E275" s="1">
        <v>1</v>
      </c>
      <c r="F275" s="1">
        <v>1</v>
      </c>
      <c r="G275" s="1">
        <v>0</v>
      </c>
      <c r="H275" s="1">
        <v>0.5</v>
      </c>
      <c r="M275" s="1" t="s">
        <v>547</v>
      </c>
      <c r="N275" s="1" t="s">
        <v>803</v>
      </c>
      <c r="O275" s="1" t="s">
        <v>803</v>
      </c>
      <c r="P275" s="1">
        <v>25</v>
      </c>
      <c r="Q275" s="1">
        <v>28</v>
      </c>
      <c r="R275" s="1">
        <v>70</v>
      </c>
      <c r="S275" s="1" t="str">
        <f t="shared" si="30"/>
        <v>1-1</v>
      </c>
      <c r="T275" s="1" t="str">
        <f t="shared" si="30"/>
        <v>1-3</v>
      </c>
      <c r="U275" s="1" t="str">
        <f t="shared" si="30"/>
        <v>6-18</v>
      </c>
      <c r="V275" s="1">
        <f t="shared" si="32"/>
        <v>12</v>
      </c>
    </row>
    <row r="276" spans="1:22">
      <c r="A276" s="1" t="s">
        <v>728</v>
      </c>
      <c r="B276" s="1" t="s">
        <v>515</v>
      </c>
      <c r="C276" s="1" t="s">
        <v>39</v>
      </c>
      <c r="D276" s="1" t="s">
        <v>226</v>
      </c>
      <c r="E276" s="1">
        <v>1</v>
      </c>
      <c r="F276" s="1">
        <v>1</v>
      </c>
      <c r="G276" s="1">
        <v>0</v>
      </c>
      <c r="H276" s="1">
        <v>0.5</v>
      </c>
      <c r="M276" s="1" t="s">
        <v>547</v>
      </c>
      <c r="N276" s="1" t="s">
        <v>804</v>
      </c>
      <c r="O276" s="1" t="s">
        <v>804</v>
      </c>
      <c r="P276" s="1">
        <v>31</v>
      </c>
      <c r="Q276" s="1">
        <v>35</v>
      </c>
      <c r="R276" s="1">
        <v>70</v>
      </c>
      <c r="S276" s="1" t="str">
        <f t="shared" ref="S276:U288" si="33">_xlfn.LET(_xlpm.a,($E276+S$3*$G276)*(1+S$2),_xlpm.b,($F276+S$3*$H276)*(1+S$2),_xlpm.a&amp;"-"&amp;_xlpm.b)</f>
        <v>1-1</v>
      </c>
      <c r="T276" s="1" t="str">
        <f t="shared" si="33"/>
        <v>1-3</v>
      </c>
      <c r="U276" s="1" t="str">
        <f t="shared" si="33"/>
        <v>6-18</v>
      </c>
      <c r="V276" s="1">
        <f t="shared" si="32"/>
        <v>12</v>
      </c>
    </row>
    <row r="277" spans="1:22">
      <c r="A277" s="1" t="s">
        <v>729</v>
      </c>
      <c r="B277" s="1" t="s">
        <v>516</v>
      </c>
      <c r="C277" s="1" t="s">
        <v>39</v>
      </c>
      <c r="D277" s="1" t="s">
        <v>227</v>
      </c>
      <c r="E277" s="1">
        <v>1</v>
      </c>
      <c r="F277" s="1">
        <v>1</v>
      </c>
      <c r="G277" s="1">
        <v>0</v>
      </c>
      <c r="H277" s="1">
        <v>0.5</v>
      </c>
      <c r="M277" s="1" t="s">
        <v>547</v>
      </c>
      <c r="N277" s="1" t="s">
        <v>805</v>
      </c>
      <c r="O277" s="1" t="s">
        <v>805</v>
      </c>
      <c r="P277" s="1">
        <v>1</v>
      </c>
      <c r="Q277" s="1">
        <v>1</v>
      </c>
      <c r="R277" s="1">
        <v>70</v>
      </c>
      <c r="S277" s="1" t="str">
        <f t="shared" si="33"/>
        <v>1-1</v>
      </c>
      <c r="T277" s="1" t="str">
        <f t="shared" si="33"/>
        <v>1-3</v>
      </c>
      <c r="U277" s="1" t="str">
        <f t="shared" si="33"/>
        <v>6-18</v>
      </c>
      <c r="V277" s="1">
        <f t="shared" si="32"/>
        <v>12</v>
      </c>
    </row>
    <row r="278" spans="1:22">
      <c r="A278" s="1" t="s">
        <v>730</v>
      </c>
      <c r="B278" s="1" t="s">
        <v>518</v>
      </c>
      <c r="C278" s="1" t="s">
        <v>39</v>
      </c>
      <c r="D278" s="1" t="s">
        <v>228</v>
      </c>
      <c r="E278" s="1">
        <v>1</v>
      </c>
      <c r="F278" s="1">
        <v>1</v>
      </c>
      <c r="G278" s="1">
        <v>0</v>
      </c>
      <c r="H278" s="1">
        <v>0.5</v>
      </c>
      <c r="M278" s="1" t="s">
        <v>573</v>
      </c>
      <c r="N278" s="1" t="s">
        <v>806</v>
      </c>
      <c r="O278" s="1" t="s">
        <v>806</v>
      </c>
      <c r="P278" s="1">
        <v>6</v>
      </c>
      <c r="Q278" s="1">
        <v>7</v>
      </c>
      <c r="R278" s="1">
        <v>70</v>
      </c>
      <c r="S278" s="1" t="str">
        <f t="shared" si="33"/>
        <v>1-1</v>
      </c>
      <c r="T278" s="1" t="str">
        <f t="shared" si="33"/>
        <v>1-3</v>
      </c>
      <c r="U278" s="1" t="str">
        <f t="shared" si="33"/>
        <v>6-18</v>
      </c>
      <c r="V278" s="1">
        <f t="shared" si="32"/>
        <v>12</v>
      </c>
    </row>
    <row r="279" spans="1:22">
      <c r="A279" s="1" t="s">
        <v>731</v>
      </c>
      <c r="B279" s="1" t="s">
        <v>521</v>
      </c>
      <c r="C279" s="1" t="s">
        <v>39</v>
      </c>
      <c r="D279" s="1" t="s">
        <v>229</v>
      </c>
      <c r="E279" s="1">
        <v>1</v>
      </c>
      <c r="F279" s="1">
        <v>1</v>
      </c>
      <c r="G279" s="1">
        <v>0</v>
      </c>
      <c r="H279" s="1">
        <v>0.5</v>
      </c>
      <c r="M279" s="1" t="s">
        <v>547</v>
      </c>
      <c r="N279" s="1" t="s">
        <v>807</v>
      </c>
      <c r="O279" s="1" t="s">
        <v>807</v>
      </c>
      <c r="P279" s="1">
        <v>12</v>
      </c>
      <c r="Q279" s="1">
        <v>14</v>
      </c>
      <c r="R279" s="1">
        <v>70</v>
      </c>
      <c r="S279" s="1" t="str">
        <f t="shared" si="33"/>
        <v>1-1</v>
      </c>
      <c r="T279" s="1" t="str">
        <f t="shared" si="33"/>
        <v>1-3</v>
      </c>
      <c r="U279" s="1" t="str">
        <f t="shared" si="33"/>
        <v>6-18</v>
      </c>
      <c r="V279" s="1">
        <f t="shared" si="32"/>
        <v>12</v>
      </c>
    </row>
    <row r="280" spans="1:22">
      <c r="A280" s="1" t="s">
        <v>732</v>
      </c>
      <c r="B280" s="1" t="s">
        <v>519</v>
      </c>
      <c r="C280" s="1" t="s">
        <v>39</v>
      </c>
      <c r="D280" s="1" t="s">
        <v>230</v>
      </c>
      <c r="E280" s="1">
        <v>1</v>
      </c>
      <c r="F280" s="1">
        <v>1</v>
      </c>
      <c r="G280" s="1">
        <v>0</v>
      </c>
      <c r="H280" s="1">
        <v>0.5</v>
      </c>
      <c r="M280" s="1" t="s">
        <v>547</v>
      </c>
      <c r="N280" s="1" t="s">
        <v>808</v>
      </c>
      <c r="O280" s="1" t="s">
        <v>808</v>
      </c>
      <c r="P280" s="1">
        <v>19</v>
      </c>
      <c r="Q280" s="1">
        <v>21</v>
      </c>
      <c r="R280" s="1">
        <v>70</v>
      </c>
      <c r="S280" s="1" t="str">
        <f t="shared" si="33"/>
        <v>1-1</v>
      </c>
      <c r="T280" s="1" t="str">
        <f t="shared" si="33"/>
        <v>1-3</v>
      </c>
      <c r="U280" s="1" t="str">
        <f t="shared" si="33"/>
        <v>6-18</v>
      </c>
      <c r="V280" s="1">
        <f t="shared" si="32"/>
        <v>12</v>
      </c>
    </row>
    <row r="281" spans="1:22">
      <c r="A281" s="1" t="s">
        <v>733</v>
      </c>
      <c r="B281" s="1" t="s">
        <v>520</v>
      </c>
      <c r="C281" s="1" t="s">
        <v>39</v>
      </c>
      <c r="D281" s="1" t="s">
        <v>239</v>
      </c>
      <c r="E281" s="1">
        <v>1</v>
      </c>
      <c r="F281" s="1">
        <v>1</v>
      </c>
      <c r="G281" s="1">
        <v>0</v>
      </c>
      <c r="H281" s="1">
        <v>0.5</v>
      </c>
      <c r="M281" s="1" t="s">
        <v>547</v>
      </c>
      <c r="N281" s="1" t="s">
        <v>809</v>
      </c>
      <c r="O281" s="1" t="s">
        <v>809</v>
      </c>
      <c r="P281" s="1">
        <v>25</v>
      </c>
      <c r="Q281" s="1">
        <v>28</v>
      </c>
      <c r="R281" s="1">
        <v>70</v>
      </c>
      <c r="S281" s="1" t="str">
        <f t="shared" si="33"/>
        <v>1-1</v>
      </c>
      <c r="T281" s="1" t="str">
        <f t="shared" si="33"/>
        <v>1-3</v>
      </c>
      <c r="U281" s="1" t="str">
        <f t="shared" si="33"/>
        <v>6-18</v>
      </c>
      <c r="V281" s="1">
        <f t="shared" si="32"/>
        <v>12</v>
      </c>
    </row>
    <row r="282" spans="1:22">
      <c r="A282" s="1" t="s">
        <v>734</v>
      </c>
      <c r="B282" s="1" t="s">
        <v>522</v>
      </c>
      <c r="C282" s="1" t="s">
        <v>39</v>
      </c>
      <c r="D282" s="1" t="s">
        <v>240</v>
      </c>
      <c r="E282" s="1">
        <v>1</v>
      </c>
      <c r="F282" s="1">
        <v>1</v>
      </c>
      <c r="G282" s="1">
        <v>0</v>
      </c>
      <c r="H282" s="1">
        <v>0.5</v>
      </c>
      <c r="M282" s="1" t="s">
        <v>547</v>
      </c>
      <c r="N282" s="1" t="s">
        <v>810</v>
      </c>
      <c r="O282" s="1" t="s">
        <v>810</v>
      </c>
      <c r="P282" s="1">
        <v>31</v>
      </c>
      <c r="Q282" s="1">
        <v>35</v>
      </c>
      <c r="R282" s="1">
        <v>70</v>
      </c>
      <c r="S282" s="1" t="str">
        <f t="shared" si="33"/>
        <v>1-1</v>
      </c>
      <c r="T282" s="1" t="str">
        <f t="shared" si="33"/>
        <v>1-3</v>
      </c>
      <c r="U282" s="1" t="str">
        <f t="shared" si="33"/>
        <v>6-18</v>
      </c>
      <c r="V282" s="1">
        <f t="shared" si="32"/>
        <v>12</v>
      </c>
    </row>
    <row r="283" spans="1:22">
      <c r="A283" s="1" t="s">
        <v>735</v>
      </c>
      <c r="B283" s="1" t="s">
        <v>523</v>
      </c>
      <c r="C283" s="1" t="s">
        <v>39</v>
      </c>
      <c r="D283" s="1" t="s">
        <v>241</v>
      </c>
      <c r="E283" s="1">
        <v>1</v>
      </c>
      <c r="F283" s="1">
        <v>1</v>
      </c>
      <c r="G283" s="1">
        <v>0</v>
      </c>
      <c r="H283" s="1">
        <v>0.5</v>
      </c>
      <c r="M283" s="1" t="s">
        <v>547</v>
      </c>
      <c r="N283" s="1" t="s">
        <v>811</v>
      </c>
      <c r="O283" s="1" t="s">
        <v>811</v>
      </c>
      <c r="P283" s="1">
        <v>1</v>
      </c>
      <c r="Q283" s="1">
        <v>1</v>
      </c>
      <c r="R283" s="1">
        <v>70</v>
      </c>
      <c r="S283" s="1" t="str">
        <f t="shared" si="33"/>
        <v>1-1</v>
      </c>
      <c r="T283" s="1" t="str">
        <f t="shared" si="33"/>
        <v>1-3</v>
      </c>
      <c r="U283" s="1" t="str">
        <f t="shared" si="33"/>
        <v>6-18</v>
      </c>
      <c r="V283" s="1">
        <f t="shared" si="32"/>
        <v>12</v>
      </c>
    </row>
    <row r="284" spans="1:22">
      <c r="A284" s="1" t="s">
        <v>736</v>
      </c>
      <c r="B284" s="1" t="s">
        <v>524</v>
      </c>
      <c r="C284" s="1" t="s">
        <v>39</v>
      </c>
      <c r="D284" s="1" t="s">
        <v>242</v>
      </c>
      <c r="E284" s="1">
        <v>1</v>
      </c>
      <c r="F284" s="1">
        <v>1</v>
      </c>
      <c r="G284" s="1">
        <v>0</v>
      </c>
      <c r="H284" s="1">
        <v>0.5</v>
      </c>
      <c r="M284" s="1" t="s">
        <v>573</v>
      </c>
      <c r="N284" s="1" t="s">
        <v>812</v>
      </c>
      <c r="O284" s="1" t="s">
        <v>812</v>
      </c>
      <c r="P284" s="1">
        <v>6</v>
      </c>
      <c r="Q284" s="1">
        <v>7</v>
      </c>
      <c r="R284" s="1">
        <v>70</v>
      </c>
      <c r="S284" s="1" t="str">
        <f t="shared" si="33"/>
        <v>1-1</v>
      </c>
      <c r="T284" s="1" t="str">
        <f t="shared" si="33"/>
        <v>1-3</v>
      </c>
      <c r="U284" s="1" t="str">
        <f t="shared" si="33"/>
        <v>6-18</v>
      </c>
      <c r="V284" s="1">
        <f t="shared" si="32"/>
        <v>12</v>
      </c>
    </row>
    <row r="285" spans="1:22">
      <c r="A285" s="1" t="s">
        <v>737</v>
      </c>
      <c r="B285" s="1" t="s">
        <v>525</v>
      </c>
      <c r="C285" s="1" t="s">
        <v>39</v>
      </c>
      <c r="D285" s="1" t="s">
        <v>243</v>
      </c>
      <c r="E285" s="1">
        <v>1</v>
      </c>
      <c r="F285" s="1">
        <v>1</v>
      </c>
      <c r="G285" s="1">
        <v>0</v>
      </c>
      <c r="H285" s="1">
        <v>0.5</v>
      </c>
      <c r="M285" s="1" t="s">
        <v>547</v>
      </c>
      <c r="N285" s="1" t="s">
        <v>813</v>
      </c>
      <c r="O285" s="1" t="s">
        <v>813</v>
      </c>
      <c r="P285" s="1">
        <v>12</v>
      </c>
      <c r="Q285" s="1">
        <v>14</v>
      </c>
      <c r="R285" s="1">
        <v>70</v>
      </c>
      <c r="S285" s="1" t="str">
        <f t="shared" si="33"/>
        <v>1-1</v>
      </c>
      <c r="T285" s="1" t="str">
        <f t="shared" si="33"/>
        <v>1-3</v>
      </c>
      <c r="U285" s="1" t="str">
        <f t="shared" si="33"/>
        <v>6-18</v>
      </c>
      <c r="V285" s="1">
        <f t="shared" si="32"/>
        <v>12</v>
      </c>
    </row>
    <row r="286" spans="1:22">
      <c r="A286" s="1" t="s">
        <v>738</v>
      </c>
      <c r="B286" s="1" t="s">
        <v>526</v>
      </c>
      <c r="C286" s="1" t="s">
        <v>39</v>
      </c>
      <c r="D286" s="1" t="s">
        <v>244</v>
      </c>
      <c r="E286" s="1">
        <v>1</v>
      </c>
      <c r="F286" s="1">
        <v>1</v>
      </c>
      <c r="G286" s="1">
        <v>0</v>
      </c>
      <c r="H286" s="1">
        <v>0.5</v>
      </c>
      <c r="M286" s="1" t="s">
        <v>547</v>
      </c>
      <c r="N286" s="1" t="s">
        <v>814</v>
      </c>
      <c r="O286" s="1" t="s">
        <v>814</v>
      </c>
      <c r="P286" s="1">
        <v>19</v>
      </c>
      <c r="Q286" s="1">
        <v>21</v>
      </c>
      <c r="R286" s="1">
        <v>70</v>
      </c>
      <c r="S286" s="1" t="str">
        <f t="shared" si="33"/>
        <v>1-1</v>
      </c>
      <c r="T286" s="1" t="str">
        <f t="shared" si="33"/>
        <v>1-3</v>
      </c>
      <c r="U286" s="1" t="str">
        <f t="shared" si="33"/>
        <v>6-18</v>
      </c>
      <c r="V286" s="1">
        <f t="shared" si="32"/>
        <v>12</v>
      </c>
    </row>
    <row r="287" spans="1:22">
      <c r="A287" s="1" t="s">
        <v>739</v>
      </c>
      <c r="B287" s="1" t="s">
        <v>527</v>
      </c>
      <c r="C287" s="1" t="s">
        <v>39</v>
      </c>
      <c r="D287" s="1" t="s">
        <v>245</v>
      </c>
      <c r="E287" s="1">
        <v>1</v>
      </c>
      <c r="F287" s="1">
        <v>1</v>
      </c>
      <c r="G287" s="1">
        <v>0</v>
      </c>
      <c r="H287" s="1">
        <v>0.5</v>
      </c>
      <c r="M287" s="1" t="s">
        <v>547</v>
      </c>
      <c r="N287" s="1" t="s">
        <v>815</v>
      </c>
      <c r="O287" s="1" t="s">
        <v>815</v>
      </c>
      <c r="P287" s="1">
        <v>25</v>
      </c>
      <c r="Q287" s="1">
        <v>28</v>
      </c>
      <c r="R287" s="1">
        <v>70</v>
      </c>
      <c r="S287" s="1" t="str">
        <f t="shared" si="33"/>
        <v>1-1</v>
      </c>
      <c r="T287" s="1" t="str">
        <f t="shared" si="33"/>
        <v>1-3</v>
      </c>
      <c r="U287" s="1" t="str">
        <f t="shared" si="33"/>
        <v>6-18</v>
      </c>
      <c r="V287" s="1">
        <f t="shared" si="32"/>
        <v>12</v>
      </c>
    </row>
    <row r="288" spans="1:22">
      <c r="A288" s="1" t="s">
        <v>740</v>
      </c>
      <c r="B288" s="1" t="s">
        <v>528</v>
      </c>
      <c r="C288" s="1" t="s">
        <v>39</v>
      </c>
      <c r="D288" s="1" t="s">
        <v>246</v>
      </c>
      <c r="E288" s="1">
        <v>1</v>
      </c>
      <c r="F288" s="1">
        <v>1</v>
      </c>
      <c r="G288" s="1">
        <v>0</v>
      </c>
      <c r="H288" s="1">
        <v>0.5</v>
      </c>
      <c r="M288" s="1" t="s">
        <v>547</v>
      </c>
      <c r="N288" s="1" t="s">
        <v>816</v>
      </c>
      <c r="O288" s="1" t="s">
        <v>816</v>
      </c>
      <c r="P288" s="1">
        <v>31</v>
      </c>
      <c r="Q288" s="1">
        <v>35</v>
      </c>
      <c r="R288" s="1">
        <v>70</v>
      </c>
      <c r="S288" s="1" t="str">
        <f t="shared" si="33"/>
        <v>1-1</v>
      </c>
      <c r="T288" s="1" t="str">
        <f t="shared" si="33"/>
        <v>1-3</v>
      </c>
      <c r="U288" s="1" t="str">
        <f t="shared" si="33"/>
        <v>6-18</v>
      </c>
      <c r="V288" s="1">
        <f t="shared" si="32"/>
        <v>12</v>
      </c>
    </row>
    <row r="289" spans="1:22">
      <c r="A289" s="1" t="s">
        <v>302</v>
      </c>
      <c r="B289" s="1" t="s">
        <v>303</v>
      </c>
      <c r="C289" s="1" t="s">
        <v>39</v>
      </c>
      <c r="D289" s="1" t="s">
        <v>303</v>
      </c>
      <c r="E289" s="1">
        <v>1</v>
      </c>
      <c r="F289" s="1">
        <v>1</v>
      </c>
      <c r="G289" s="1">
        <v>0</v>
      </c>
      <c r="H289" s="1">
        <v>0.5</v>
      </c>
      <c r="N289" s="1" t="s">
        <v>781</v>
      </c>
      <c r="O289" s="1" t="s">
        <v>781</v>
      </c>
      <c r="P289" s="1">
        <v>1</v>
      </c>
      <c r="Q289" s="1">
        <v>1</v>
      </c>
      <c r="S289" s="1" t="str">
        <f t="shared" ref="S289:U308" si="34">_xlfn.LET(_xlpm.a,($E289+S$3*$G289)*(1+S$2),_xlpm.b,($F289+S$3*$H289)*(1+S$2),_xlpm.a&amp;"-"&amp;_xlpm.b)</f>
        <v>1-1</v>
      </c>
      <c r="T289" s="1" t="str">
        <f t="shared" si="34"/>
        <v>1-3</v>
      </c>
      <c r="U289" s="1" t="str">
        <f t="shared" si="34"/>
        <v>6-18</v>
      </c>
      <c r="V289" s="1">
        <f t="shared" ref="V289:V324" si="35">_xlfn.LET(_xlpm.a,($E289+U$3*$G289)*(1+U$2),_xlpm.b,($F289+U$3*$H289)*(1+U$2),_xlpm.a/2+_xlpm.b/2)</f>
        <v>12</v>
      </c>
    </row>
    <row r="290" spans="1:22">
      <c r="A290" s="1" t="s">
        <v>304</v>
      </c>
      <c r="B290" s="1" t="s">
        <v>305</v>
      </c>
      <c r="C290" s="1" t="s">
        <v>39</v>
      </c>
      <c r="D290" s="1" t="s">
        <v>305</v>
      </c>
      <c r="E290" s="1">
        <v>1</v>
      </c>
      <c r="F290" s="1">
        <v>1</v>
      </c>
      <c r="G290" s="1">
        <v>0</v>
      </c>
      <c r="H290" s="1">
        <v>0.5</v>
      </c>
      <c r="N290" s="1" t="s">
        <v>782</v>
      </c>
      <c r="O290" s="1" t="s">
        <v>782</v>
      </c>
      <c r="P290" s="1">
        <v>6</v>
      </c>
      <c r="Q290" s="1">
        <v>7</v>
      </c>
      <c r="S290" s="1" t="str">
        <f t="shared" si="34"/>
        <v>1-1</v>
      </c>
      <c r="T290" s="1" t="str">
        <f t="shared" si="34"/>
        <v>1-3</v>
      </c>
      <c r="U290" s="1" t="str">
        <f t="shared" si="34"/>
        <v>6-18</v>
      </c>
      <c r="V290" s="1">
        <f t="shared" si="35"/>
        <v>12</v>
      </c>
    </row>
    <row r="291" spans="1:22">
      <c r="A291" s="1" t="s">
        <v>306</v>
      </c>
      <c r="B291" s="1" t="s">
        <v>307</v>
      </c>
      <c r="C291" s="1" t="s">
        <v>39</v>
      </c>
      <c r="D291" s="1" t="s">
        <v>307</v>
      </c>
      <c r="E291" s="1">
        <v>1</v>
      </c>
      <c r="F291" s="1">
        <v>1</v>
      </c>
      <c r="G291" s="1">
        <v>0</v>
      </c>
      <c r="H291" s="1">
        <v>0.5</v>
      </c>
      <c r="N291" s="1" t="s">
        <v>783</v>
      </c>
      <c r="O291" s="1" t="s">
        <v>783</v>
      </c>
      <c r="P291" s="1">
        <v>12</v>
      </c>
      <c r="Q291" s="1">
        <v>14</v>
      </c>
      <c r="S291" s="1" t="str">
        <f t="shared" si="34"/>
        <v>1-1</v>
      </c>
      <c r="T291" s="1" t="str">
        <f t="shared" si="34"/>
        <v>1-3</v>
      </c>
      <c r="U291" s="1" t="str">
        <f t="shared" si="34"/>
        <v>6-18</v>
      </c>
      <c r="V291" s="1">
        <f t="shared" si="35"/>
        <v>12</v>
      </c>
    </row>
    <row r="292" spans="1:22">
      <c r="A292" s="1" t="s">
        <v>308</v>
      </c>
      <c r="B292" s="1" t="s">
        <v>309</v>
      </c>
      <c r="C292" s="1" t="s">
        <v>39</v>
      </c>
      <c r="D292" s="1" t="s">
        <v>309</v>
      </c>
      <c r="E292" s="1">
        <v>1</v>
      </c>
      <c r="F292" s="1">
        <v>1</v>
      </c>
      <c r="G292" s="1">
        <v>0</v>
      </c>
      <c r="H292" s="1">
        <v>0.5</v>
      </c>
      <c r="N292" s="1" t="s">
        <v>784</v>
      </c>
      <c r="O292" s="1" t="s">
        <v>784</v>
      </c>
      <c r="P292" s="1">
        <v>19</v>
      </c>
      <c r="Q292" s="1">
        <v>21</v>
      </c>
      <c r="S292" s="1" t="str">
        <f t="shared" si="34"/>
        <v>1-1</v>
      </c>
      <c r="T292" s="1" t="str">
        <f t="shared" si="34"/>
        <v>1-3</v>
      </c>
      <c r="U292" s="1" t="str">
        <f t="shared" si="34"/>
        <v>6-18</v>
      </c>
      <c r="V292" s="1">
        <f t="shared" si="35"/>
        <v>12</v>
      </c>
    </row>
    <row r="293" spans="1:22">
      <c r="A293" s="1" t="s">
        <v>310</v>
      </c>
      <c r="B293" s="1" t="s">
        <v>311</v>
      </c>
      <c r="C293" s="1" t="s">
        <v>39</v>
      </c>
      <c r="D293" s="1" t="s">
        <v>311</v>
      </c>
      <c r="E293" s="1">
        <v>1</v>
      </c>
      <c r="F293" s="1">
        <v>1</v>
      </c>
      <c r="G293" s="1">
        <v>0</v>
      </c>
      <c r="H293" s="1">
        <v>0.5</v>
      </c>
      <c r="N293" s="1" t="s">
        <v>785</v>
      </c>
      <c r="O293" s="1" t="s">
        <v>785</v>
      </c>
      <c r="P293" s="1">
        <v>25</v>
      </c>
      <c r="Q293" s="1">
        <v>28</v>
      </c>
      <c r="S293" s="1" t="str">
        <f t="shared" si="34"/>
        <v>1-1</v>
      </c>
      <c r="T293" s="1" t="str">
        <f t="shared" si="34"/>
        <v>1-3</v>
      </c>
      <c r="U293" s="1" t="str">
        <f t="shared" si="34"/>
        <v>6-18</v>
      </c>
      <c r="V293" s="1">
        <f t="shared" si="35"/>
        <v>12</v>
      </c>
    </row>
    <row r="294" spans="1:22">
      <c r="A294" s="1" t="s">
        <v>312</v>
      </c>
      <c r="B294" s="1" t="s">
        <v>313</v>
      </c>
      <c r="C294" s="1" t="s">
        <v>39</v>
      </c>
      <c r="D294" s="1" t="s">
        <v>313</v>
      </c>
      <c r="E294" s="1">
        <v>1</v>
      </c>
      <c r="F294" s="1">
        <v>1</v>
      </c>
      <c r="G294" s="1">
        <v>0</v>
      </c>
      <c r="H294" s="1">
        <v>0.5</v>
      </c>
      <c r="N294" s="1" t="s">
        <v>786</v>
      </c>
      <c r="O294" s="1" t="s">
        <v>786</v>
      </c>
      <c r="P294" s="1">
        <v>31</v>
      </c>
      <c r="Q294" s="1">
        <v>35</v>
      </c>
      <c r="S294" s="1" t="str">
        <f t="shared" si="34"/>
        <v>1-1</v>
      </c>
      <c r="T294" s="1" t="str">
        <f t="shared" si="34"/>
        <v>1-3</v>
      </c>
      <c r="U294" s="1" t="str">
        <f t="shared" si="34"/>
        <v>6-18</v>
      </c>
      <c r="V294" s="1">
        <f t="shared" si="35"/>
        <v>12</v>
      </c>
    </row>
    <row r="295" spans="1:22">
      <c r="A295" s="1" t="s">
        <v>314</v>
      </c>
      <c r="B295" s="1" t="s">
        <v>315</v>
      </c>
      <c r="C295" s="1" t="s">
        <v>39</v>
      </c>
      <c r="D295" s="1" t="s">
        <v>315</v>
      </c>
      <c r="E295" s="1">
        <v>1</v>
      </c>
      <c r="F295" s="1">
        <v>1</v>
      </c>
      <c r="G295" s="1">
        <v>0</v>
      </c>
      <c r="H295" s="1">
        <v>0.5</v>
      </c>
      <c r="N295" s="1" t="s">
        <v>787</v>
      </c>
      <c r="O295" s="1" t="s">
        <v>787</v>
      </c>
      <c r="P295" s="1">
        <v>1</v>
      </c>
      <c r="Q295" s="1">
        <v>1</v>
      </c>
      <c r="S295" s="1" t="str">
        <f t="shared" si="34"/>
        <v>1-1</v>
      </c>
      <c r="T295" s="1" t="str">
        <f t="shared" si="34"/>
        <v>1-3</v>
      </c>
      <c r="U295" s="1" t="str">
        <f t="shared" si="34"/>
        <v>6-18</v>
      </c>
      <c r="V295" s="1">
        <f t="shared" si="35"/>
        <v>12</v>
      </c>
    </row>
    <row r="296" spans="1:22">
      <c r="A296" s="1" t="s">
        <v>316</v>
      </c>
      <c r="B296" s="1" t="s">
        <v>317</v>
      </c>
      <c r="C296" s="1" t="s">
        <v>39</v>
      </c>
      <c r="D296" s="1" t="s">
        <v>317</v>
      </c>
      <c r="E296" s="1">
        <v>1</v>
      </c>
      <c r="F296" s="1">
        <v>1</v>
      </c>
      <c r="G296" s="1">
        <v>0</v>
      </c>
      <c r="H296" s="1">
        <v>0.5</v>
      </c>
      <c r="N296" s="1" t="s">
        <v>788</v>
      </c>
      <c r="O296" s="1" t="s">
        <v>788</v>
      </c>
      <c r="P296" s="1">
        <v>6</v>
      </c>
      <c r="Q296" s="1">
        <v>7</v>
      </c>
      <c r="S296" s="1" t="str">
        <f t="shared" si="34"/>
        <v>1-1</v>
      </c>
      <c r="T296" s="1" t="str">
        <f t="shared" si="34"/>
        <v>1-3</v>
      </c>
      <c r="U296" s="1" t="str">
        <f t="shared" si="34"/>
        <v>6-18</v>
      </c>
      <c r="V296" s="1">
        <f t="shared" si="35"/>
        <v>12</v>
      </c>
    </row>
    <row r="297" spans="1:22">
      <c r="A297" s="1" t="s">
        <v>318</v>
      </c>
      <c r="B297" s="1" t="s">
        <v>319</v>
      </c>
      <c r="C297" s="1" t="s">
        <v>39</v>
      </c>
      <c r="D297" s="1" t="s">
        <v>319</v>
      </c>
      <c r="E297" s="1">
        <v>1</v>
      </c>
      <c r="F297" s="1">
        <v>1</v>
      </c>
      <c r="G297" s="1">
        <v>0</v>
      </c>
      <c r="H297" s="1">
        <v>0.5</v>
      </c>
      <c r="N297" s="1" t="s">
        <v>789</v>
      </c>
      <c r="O297" s="1" t="s">
        <v>789</v>
      </c>
      <c r="P297" s="1">
        <v>12</v>
      </c>
      <c r="Q297" s="1">
        <v>14</v>
      </c>
      <c r="S297" s="1" t="str">
        <f t="shared" si="34"/>
        <v>1-1</v>
      </c>
      <c r="T297" s="1" t="str">
        <f t="shared" si="34"/>
        <v>1-3</v>
      </c>
      <c r="U297" s="1" t="str">
        <f t="shared" si="34"/>
        <v>6-18</v>
      </c>
      <c r="V297" s="1">
        <f t="shared" si="35"/>
        <v>12</v>
      </c>
    </row>
    <row r="298" spans="1:22">
      <c r="A298" s="1" t="s">
        <v>320</v>
      </c>
      <c r="B298" s="1" t="s">
        <v>321</v>
      </c>
      <c r="C298" s="1" t="s">
        <v>39</v>
      </c>
      <c r="D298" s="1" t="s">
        <v>321</v>
      </c>
      <c r="E298" s="1">
        <v>1</v>
      </c>
      <c r="F298" s="1">
        <v>1</v>
      </c>
      <c r="G298" s="1">
        <v>0</v>
      </c>
      <c r="H298" s="1">
        <v>0.5</v>
      </c>
      <c r="N298" s="1" t="s">
        <v>790</v>
      </c>
      <c r="O298" s="1" t="s">
        <v>790</v>
      </c>
      <c r="P298" s="1">
        <v>19</v>
      </c>
      <c r="Q298" s="1">
        <v>21</v>
      </c>
      <c r="S298" s="1" t="str">
        <f t="shared" si="34"/>
        <v>1-1</v>
      </c>
      <c r="T298" s="1" t="str">
        <f t="shared" si="34"/>
        <v>1-3</v>
      </c>
      <c r="U298" s="1" t="str">
        <f t="shared" si="34"/>
        <v>6-18</v>
      </c>
      <c r="V298" s="1">
        <f t="shared" si="35"/>
        <v>12</v>
      </c>
    </row>
    <row r="299" spans="1:22">
      <c r="A299" s="1" t="s">
        <v>322</v>
      </c>
      <c r="B299" s="1" t="s">
        <v>323</v>
      </c>
      <c r="C299" s="1" t="s">
        <v>39</v>
      </c>
      <c r="D299" s="1" t="s">
        <v>323</v>
      </c>
      <c r="E299" s="1">
        <v>1</v>
      </c>
      <c r="F299" s="1">
        <v>1</v>
      </c>
      <c r="G299" s="1">
        <v>0</v>
      </c>
      <c r="H299" s="1">
        <v>0.5</v>
      </c>
      <c r="N299" s="1" t="s">
        <v>791</v>
      </c>
      <c r="O299" s="1" t="s">
        <v>791</v>
      </c>
      <c r="P299" s="1">
        <v>25</v>
      </c>
      <c r="Q299" s="1">
        <v>28</v>
      </c>
      <c r="S299" s="1" t="str">
        <f t="shared" si="34"/>
        <v>1-1</v>
      </c>
      <c r="T299" s="1" t="str">
        <f t="shared" si="34"/>
        <v>1-3</v>
      </c>
      <c r="U299" s="1" t="str">
        <f t="shared" si="34"/>
        <v>6-18</v>
      </c>
      <c r="V299" s="1">
        <f t="shared" si="35"/>
        <v>12</v>
      </c>
    </row>
    <row r="300" spans="1:22">
      <c r="A300" s="1" t="s">
        <v>324</v>
      </c>
      <c r="B300" s="1" t="s">
        <v>325</v>
      </c>
      <c r="C300" s="1" t="s">
        <v>39</v>
      </c>
      <c r="D300" s="1" t="s">
        <v>325</v>
      </c>
      <c r="E300" s="1">
        <v>1</v>
      </c>
      <c r="F300" s="1">
        <v>1</v>
      </c>
      <c r="G300" s="1">
        <v>0</v>
      </c>
      <c r="H300" s="1">
        <v>0.5</v>
      </c>
      <c r="N300" s="1" t="s">
        <v>792</v>
      </c>
      <c r="O300" s="1" t="s">
        <v>792</v>
      </c>
      <c r="P300" s="1">
        <v>31</v>
      </c>
      <c r="Q300" s="1">
        <v>35</v>
      </c>
      <c r="S300" s="1" t="str">
        <f t="shared" si="34"/>
        <v>1-1</v>
      </c>
      <c r="T300" s="1" t="str">
        <f t="shared" si="34"/>
        <v>1-3</v>
      </c>
      <c r="U300" s="1" t="str">
        <f t="shared" si="34"/>
        <v>6-18</v>
      </c>
      <c r="V300" s="1">
        <f t="shared" si="35"/>
        <v>12</v>
      </c>
    </row>
    <row r="301" spans="1:22">
      <c r="A301" s="1" t="s">
        <v>326</v>
      </c>
      <c r="B301" s="1" t="s">
        <v>327</v>
      </c>
      <c r="C301" s="1" t="s">
        <v>39</v>
      </c>
      <c r="D301" s="1" t="s">
        <v>327</v>
      </c>
      <c r="E301" s="1">
        <v>1</v>
      </c>
      <c r="F301" s="1">
        <v>1</v>
      </c>
      <c r="G301" s="1">
        <v>0</v>
      </c>
      <c r="H301" s="1">
        <v>0.5</v>
      </c>
      <c r="N301" s="1" t="s">
        <v>793</v>
      </c>
      <c r="O301" s="1" t="s">
        <v>793</v>
      </c>
      <c r="P301" s="1">
        <v>1</v>
      </c>
      <c r="Q301" s="1">
        <v>1</v>
      </c>
      <c r="S301" s="1" t="str">
        <f t="shared" si="34"/>
        <v>1-1</v>
      </c>
      <c r="T301" s="1" t="str">
        <f t="shared" si="34"/>
        <v>1-3</v>
      </c>
      <c r="U301" s="1" t="str">
        <f t="shared" si="34"/>
        <v>6-18</v>
      </c>
      <c r="V301" s="1">
        <f t="shared" si="35"/>
        <v>12</v>
      </c>
    </row>
    <row r="302" spans="1:22">
      <c r="A302" s="1" t="s">
        <v>328</v>
      </c>
      <c r="B302" s="1" t="s">
        <v>329</v>
      </c>
      <c r="C302" s="1" t="s">
        <v>39</v>
      </c>
      <c r="D302" s="1" t="s">
        <v>329</v>
      </c>
      <c r="E302" s="1">
        <v>1</v>
      </c>
      <c r="F302" s="1">
        <v>1</v>
      </c>
      <c r="G302" s="1">
        <v>0</v>
      </c>
      <c r="H302" s="1">
        <v>0.5</v>
      </c>
      <c r="N302" s="1" t="s">
        <v>794</v>
      </c>
      <c r="O302" s="1" t="s">
        <v>794</v>
      </c>
      <c r="P302" s="1">
        <v>6</v>
      </c>
      <c r="Q302" s="1">
        <v>7</v>
      </c>
      <c r="S302" s="1" t="str">
        <f t="shared" si="34"/>
        <v>1-1</v>
      </c>
      <c r="T302" s="1" t="str">
        <f t="shared" si="34"/>
        <v>1-3</v>
      </c>
      <c r="U302" s="1" t="str">
        <f t="shared" si="34"/>
        <v>6-18</v>
      </c>
      <c r="V302" s="1">
        <f t="shared" si="35"/>
        <v>12</v>
      </c>
    </row>
    <row r="303" spans="1:22">
      <c r="A303" s="1" t="s">
        <v>330</v>
      </c>
      <c r="B303" s="1" t="s">
        <v>331</v>
      </c>
      <c r="C303" s="1" t="s">
        <v>39</v>
      </c>
      <c r="D303" s="1" t="s">
        <v>331</v>
      </c>
      <c r="E303" s="1">
        <v>1</v>
      </c>
      <c r="F303" s="1">
        <v>1</v>
      </c>
      <c r="G303" s="1">
        <v>0</v>
      </c>
      <c r="H303" s="1">
        <v>0.5</v>
      </c>
      <c r="N303" s="1" t="s">
        <v>795</v>
      </c>
      <c r="O303" s="1" t="s">
        <v>795</v>
      </c>
      <c r="P303" s="1">
        <v>12</v>
      </c>
      <c r="Q303" s="1">
        <v>14</v>
      </c>
      <c r="S303" s="1" t="str">
        <f t="shared" si="34"/>
        <v>1-1</v>
      </c>
      <c r="T303" s="1" t="str">
        <f t="shared" si="34"/>
        <v>1-3</v>
      </c>
      <c r="U303" s="1" t="str">
        <f t="shared" si="34"/>
        <v>6-18</v>
      </c>
      <c r="V303" s="1">
        <f t="shared" si="35"/>
        <v>12</v>
      </c>
    </row>
    <row r="304" spans="1:22">
      <c r="A304" s="1" t="s">
        <v>332</v>
      </c>
      <c r="B304" s="1" t="s">
        <v>333</v>
      </c>
      <c r="C304" s="1" t="s">
        <v>39</v>
      </c>
      <c r="D304" s="1" t="s">
        <v>333</v>
      </c>
      <c r="E304" s="1">
        <v>1</v>
      </c>
      <c r="F304" s="1">
        <v>1</v>
      </c>
      <c r="G304" s="1">
        <v>0</v>
      </c>
      <c r="H304" s="1">
        <v>0.5</v>
      </c>
      <c r="N304" s="1" t="s">
        <v>796</v>
      </c>
      <c r="O304" s="1" t="s">
        <v>796</v>
      </c>
      <c r="P304" s="1">
        <v>19</v>
      </c>
      <c r="Q304" s="1">
        <v>21</v>
      </c>
      <c r="S304" s="1" t="str">
        <f t="shared" si="34"/>
        <v>1-1</v>
      </c>
      <c r="T304" s="1" t="str">
        <f t="shared" si="34"/>
        <v>1-3</v>
      </c>
      <c r="U304" s="1" t="str">
        <f t="shared" si="34"/>
        <v>6-18</v>
      </c>
      <c r="V304" s="1">
        <f t="shared" si="35"/>
        <v>12</v>
      </c>
    </row>
    <row r="305" spans="1:22">
      <c r="A305" s="1" t="s">
        <v>334</v>
      </c>
      <c r="B305" s="1" t="s">
        <v>335</v>
      </c>
      <c r="C305" s="1" t="s">
        <v>39</v>
      </c>
      <c r="D305" s="1" t="s">
        <v>335</v>
      </c>
      <c r="E305" s="1">
        <v>1</v>
      </c>
      <c r="F305" s="1">
        <v>1</v>
      </c>
      <c r="G305" s="1">
        <v>0</v>
      </c>
      <c r="H305" s="1">
        <v>0.5</v>
      </c>
      <c r="N305" s="1" t="s">
        <v>797</v>
      </c>
      <c r="O305" s="1" t="s">
        <v>797</v>
      </c>
      <c r="P305" s="1">
        <v>25</v>
      </c>
      <c r="Q305" s="1">
        <v>28</v>
      </c>
      <c r="S305" s="1" t="str">
        <f t="shared" si="34"/>
        <v>1-1</v>
      </c>
      <c r="T305" s="1" t="str">
        <f t="shared" si="34"/>
        <v>1-3</v>
      </c>
      <c r="U305" s="1" t="str">
        <f t="shared" si="34"/>
        <v>6-18</v>
      </c>
      <c r="V305" s="1">
        <f t="shared" si="35"/>
        <v>12</v>
      </c>
    </row>
    <row r="306" spans="1:22">
      <c r="A306" s="1" t="s">
        <v>336</v>
      </c>
      <c r="B306" s="1" t="s">
        <v>337</v>
      </c>
      <c r="C306" s="1" t="s">
        <v>39</v>
      </c>
      <c r="D306" s="1" t="s">
        <v>337</v>
      </c>
      <c r="E306" s="1">
        <v>1</v>
      </c>
      <c r="F306" s="1">
        <v>1</v>
      </c>
      <c r="G306" s="1">
        <v>0</v>
      </c>
      <c r="H306" s="1">
        <v>0.5</v>
      </c>
      <c r="N306" s="1" t="s">
        <v>798</v>
      </c>
      <c r="O306" s="1" t="s">
        <v>798</v>
      </c>
      <c r="P306" s="1">
        <v>31</v>
      </c>
      <c r="Q306" s="1">
        <v>35</v>
      </c>
      <c r="S306" s="1" t="str">
        <f t="shared" si="34"/>
        <v>1-1</v>
      </c>
      <c r="T306" s="1" t="str">
        <f t="shared" si="34"/>
        <v>1-3</v>
      </c>
      <c r="U306" s="1" t="str">
        <f t="shared" si="34"/>
        <v>6-18</v>
      </c>
      <c r="V306" s="1">
        <f t="shared" si="35"/>
        <v>12</v>
      </c>
    </row>
    <row r="307" spans="1:22">
      <c r="A307" s="1" t="s">
        <v>338</v>
      </c>
      <c r="B307" s="1" t="s">
        <v>339</v>
      </c>
      <c r="C307" s="1" t="s">
        <v>39</v>
      </c>
      <c r="D307" s="1" t="s">
        <v>339</v>
      </c>
      <c r="E307" s="1">
        <v>1</v>
      </c>
      <c r="F307" s="1">
        <v>1</v>
      </c>
      <c r="G307" s="1">
        <v>0</v>
      </c>
      <c r="H307" s="1">
        <v>0.5</v>
      </c>
      <c r="N307" s="1" t="s">
        <v>799</v>
      </c>
      <c r="O307" s="1" t="s">
        <v>799</v>
      </c>
      <c r="P307" s="1">
        <v>1</v>
      </c>
      <c r="Q307" s="1">
        <v>1</v>
      </c>
      <c r="S307" s="1" t="str">
        <f t="shared" si="34"/>
        <v>1-1</v>
      </c>
      <c r="T307" s="1" t="str">
        <f t="shared" si="34"/>
        <v>1-3</v>
      </c>
      <c r="U307" s="1" t="str">
        <f t="shared" si="34"/>
        <v>6-18</v>
      </c>
      <c r="V307" s="1">
        <f t="shared" si="35"/>
        <v>12</v>
      </c>
    </row>
    <row r="308" spans="1:22">
      <c r="A308" s="1" t="s">
        <v>340</v>
      </c>
      <c r="B308" s="1" t="s">
        <v>341</v>
      </c>
      <c r="C308" s="1" t="s">
        <v>39</v>
      </c>
      <c r="D308" s="1" t="s">
        <v>341</v>
      </c>
      <c r="E308" s="1">
        <v>1</v>
      </c>
      <c r="F308" s="1">
        <v>1</v>
      </c>
      <c r="G308" s="1">
        <v>0</v>
      </c>
      <c r="H308" s="1">
        <v>0.5</v>
      </c>
      <c r="N308" s="1" t="s">
        <v>800</v>
      </c>
      <c r="O308" s="1" t="s">
        <v>800</v>
      </c>
      <c r="P308" s="1">
        <v>6</v>
      </c>
      <c r="Q308" s="1">
        <v>7</v>
      </c>
      <c r="S308" s="1" t="str">
        <f t="shared" si="34"/>
        <v>1-1</v>
      </c>
      <c r="T308" s="1" t="str">
        <f t="shared" si="34"/>
        <v>1-3</v>
      </c>
      <c r="U308" s="1" t="str">
        <f t="shared" si="34"/>
        <v>6-18</v>
      </c>
      <c r="V308" s="1">
        <f t="shared" si="35"/>
        <v>12</v>
      </c>
    </row>
    <row r="309" spans="1:22">
      <c r="A309" s="1" t="s">
        <v>342</v>
      </c>
      <c r="B309" s="1" t="s">
        <v>343</v>
      </c>
      <c r="C309" s="1" t="s">
        <v>39</v>
      </c>
      <c r="D309" s="1" t="s">
        <v>343</v>
      </c>
      <c r="E309" s="1">
        <v>1</v>
      </c>
      <c r="F309" s="1">
        <v>1</v>
      </c>
      <c r="G309" s="1">
        <v>0</v>
      </c>
      <c r="H309" s="1">
        <v>0.5</v>
      </c>
      <c r="N309" s="1" t="s">
        <v>801</v>
      </c>
      <c r="O309" s="1" t="s">
        <v>801</v>
      </c>
      <c r="P309" s="1">
        <v>12</v>
      </c>
      <c r="Q309" s="1">
        <v>14</v>
      </c>
      <c r="S309" s="1" t="str">
        <f t="shared" ref="S309:U324" si="36">_xlfn.LET(_xlpm.a,($E309+S$3*$G309)*(1+S$2),_xlpm.b,($F309+S$3*$H309)*(1+S$2),_xlpm.a&amp;"-"&amp;_xlpm.b)</f>
        <v>1-1</v>
      </c>
      <c r="T309" s="1" t="str">
        <f t="shared" si="36"/>
        <v>1-3</v>
      </c>
      <c r="U309" s="1" t="str">
        <f t="shared" si="36"/>
        <v>6-18</v>
      </c>
      <c r="V309" s="1">
        <f t="shared" si="35"/>
        <v>12</v>
      </c>
    </row>
    <row r="310" spans="1:22">
      <c r="A310" s="1" t="s">
        <v>344</v>
      </c>
      <c r="B310" s="1" t="s">
        <v>345</v>
      </c>
      <c r="C310" s="1" t="s">
        <v>39</v>
      </c>
      <c r="D310" s="1" t="s">
        <v>345</v>
      </c>
      <c r="E310" s="1">
        <v>1</v>
      </c>
      <c r="F310" s="1">
        <v>1</v>
      </c>
      <c r="G310" s="1">
        <v>0</v>
      </c>
      <c r="H310" s="1">
        <v>0.5</v>
      </c>
      <c r="N310" s="1" t="s">
        <v>802</v>
      </c>
      <c r="O310" s="1" t="s">
        <v>802</v>
      </c>
      <c r="P310" s="1">
        <v>19</v>
      </c>
      <c r="Q310" s="1">
        <v>21</v>
      </c>
      <c r="S310" s="1" t="str">
        <f t="shared" si="36"/>
        <v>1-1</v>
      </c>
      <c r="T310" s="1" t="str">
        <f t="shared" si="36"/>
        <v>1-3</v>
      </c>
      <c r="U310" s="1" t="str">
        <f t="shared" si="36"/>
        <v>6-18</v>
      </c>
      <c r="V310" s="1">
        <f t="shared" si="35"/>
        <v>12</v>
      </c>
    </row>
    <row r="311" spans="1:22">
      <c r="A311" s="1" t="s">
        <v>346</v>
      </c>
      <c r="B311" s="1" t="s">
        <v>347</v>
      </c>
      <c r="C311" s="1" t="s">
        <v>39</v>
      </c>
      <c r="D311" s="1" t="s">
        <v>347</v>
      </c>
      <c r="E311" s="1">
        <v>1</v>
      </c>
      <c r="F311" s="1">
        <v>1</v>
      </c>
      <c r="G311" s="1">
        <v>0</v>
      </c>
      <c r="H311" s="1">
        <v>0.5</v>
      </c>
      <c r="N311" s="1" t="s">
        <v>803</v>
      </c>
      <c r="O311" s="1" t="s">
        <v>803</v>
      </c>
      <c r="P311" s="1">
        <v>25</v>
      </c>
      <c r="Q311" s="1">
        <v>28</v>
      </c>
      <c r="S311" s="1" t="str">
        <f t="shared" si="36"/>
        <v>1-1</v>
      </c>
      <c r="T311" s="1" t="str">
        <f t="shared" si="36"/>
        <v>1-3</v>
      </c>
      <c r="U311" s="1" t="str">
        <f t="shared" si="36"/>
        <v>6-18</v>
      </c>
      <c r="V311" s="1">
        <f t="shared" si="35"/>
        <v>12</v>
      </c>
    </row>
    <row r="312" spans="1:22">
      <c r="A312" s="1" t="s">
        <v>348</v>
      </c>
      <c r="B312" s="1" t="s">
        <v>349</v>
      </c>
      <c r="C312" s="1" t="s">
        <v>39</v>
      </c>
      <c r="D312" s="1" t="s">
        <v>349</v>
      </c>
      <c r="E312" s="1">
        <v>1</v>
      </c>
      <c r="F312" s="1">
        <v>1</v>
      </c>
      <c r="G312" s="1">
        <v>0</v>
      </c>
      <c r="H312" s="1">
        <v>0.5</v>
      </c>
      <c r="N312" s="1" t="s">
        <v>804</v>
      </c>
      <c r="O312" s="1" t="s">
        <v>804</v>
      </c>
      <c r="P312" s="1">
        <v>31</v>
      </c>
      <c r="Q312" s="1">
        <v>35</v>
      </c>
      <c r="S312" s="1" t="str">
        <f t="shared" si="36"/>
        <v>1-1</v>
      </c>
      <c r="T312" s="1" t="str">
        <f t="shared" si="36"/>
        <v>1-3</v>
      </c>
      <c r="U312" s="1" t="str">
        <f t="shared" si="36"/>
        <v>6-18</v>
      </c>
      <c r="V312" s="1">
        <f t="shared" si="35"/>
        <v>12</v>
      </c>
    </row>
    <row r="313" spans="1:22">
      <c r="A313" s="1" t="s">
        <v>350</v>
      </c>
      <c r="B313" s="1" t="s">
        <v>351</v>
      </c>
      <c r="C313" s="1" t="s">
        <v>39</v>
      </c>
      <c r="D313" s="1" t="s">
        <v>351</v>
      </c>
      <c r="E313" s="1">
        <v>1</v>
      </c>
      <c r="F313" s="1">
        <v>1</v>
      </c>
      <c r="G313" s="1">
        <v>0</v>
      </c>
      <c r="H313" s="1">
        <v>0.5</v>
      </c>
      <c r="N313" s="1" t="s">
        <v>805</v>
      </c>
      <c r="O313" s="1" t="s">
        <v>805</v>
      </c>
      <c r="P313" s="1">
        <v>1</v>
      </c>
      <c r="Q313" s="1">
        <v>1</v>
      </c>
      <c r="S313" s="1" t="str">
        <f t="shared" si="36"/>
        <v>1-1</v>
      </c>
      <c r="T313" s="1" t="str">
        <f t="shared" si="36"/>
        <v>1-3</v>
      </c>
      <c r="U313" s="1" t="str">
        <f t="shared" si="36"/>
        <v>6-18</v>
      </c>
      <c r="V313" s="1">
        <f t="shared" si="35"/>
        <v>12</v>
      </c>
    </row>
    <row r="314" spans="1:22">
      <c r="A314" s="1" t="s">
        <v>352</v>
      </c>
      <c r="B314" s="1" t="s">
        <v>353</v>
      </c>
      <c r="C314" s="1" t="s">
        <v>39</v>
      </c>
      <c r="D314" s="1" t="s">
        <v>353</v>
      </c>
      <c r="E314" s="1">
        <v>1</v>
      </c>
      <c r="F314" s="1">
        <v>1</v>
      </c>
      <c r="G314" s="1">
        <v>0</v>
      </c>
      <c r="H314" s="1">
        <v>0.5</v>
      </c>
      <c r="N314" s="1" t="s">
        <v>806</v>
      </c>
      <c r="O314" s="1" t="s">
        <v>806</v>
      </c>
      <c r="P314" s="1">
        <v>6</v>
      </c>
      <c r="Q314" s="1">
        <v>7</v>
      </c>
      <c r="S314" s="1" t="str">
        <f t="shared" si="36"/>
        <v>1-1</v>
      </c>
      <c r="T314" s="1" t="str">
        <f t="shared" si="36"/>
        <v>1-3</v>
      </c>
      <c r="U314" s="1" t="str">
        <f t="shared" si="36"/>
        <v>6-18</v>
      </c>
      <c r="V314" s="1">
        <f t="shared" si="35"/>
        <v>12</v>
      </c>
    </row>
    <row r="315" spans="1:22">
      <c r="A315" s="1" t="s">
        <v>354</v>
      </c>
      <c r="B315" s="1" t="s">
        <v>355</v>
      </c>
      <c r="C315" s="1" t="s">
        <v>39</v>
      </c>
      <c r="D315" s="1" t="s">
        <v>355</v>
      </c>
      <c r="E315" s="1">
        <v>1</v>
      </c>
      <c r="F315" s="1">
        <v>1</v>
      </c>
      <c r="G315" s="1">
        <v>0</v>
      </c>
      <c r="H315" s="1">
        <v>0.5</v>
      </c>
      <c r="N315" s="1" t="s">
        <v>807</v>
      </c>
      <c r="O315" s="1" t="s">
        <v>807</v>
      </c>
      <c r="P315" s="1">
        <v>12</v>
      </c>
      <c r="Q315" s="1">
        <v>14</v>
      </c>
      <c r="S315" s="1" t="str">
        <f t="shared" si="36"/>
        <v>1-1</v>
      </c>
      <c r="T315" s="1" t="str">
        <f t="shared" si="36"/>
        <v>1-3</v>
      </c>
      <c r="U315" s="1" t="str">
        <f t="shared" si="36"/>
        <v>6-18</v>
      </c>
      <c r="V315" s="1">
        <f t="shared" si="35"/>
        <v>12</v>
      </c>
    </row>
    <row r="316" spans="1:22">
      <c r="A316" s="1" t="s">
        <v>356</v>
      </c>
      <c r="B316" s="1" t="s">
        <v>357</v>
      </c>
      <c r="C316" s="1" t="s">
        <v>39</v>
      </c>
      <c r="D316" s="1" t="s">
        <v>357</v>
      </c>
      <c r="E316" s="1">
        <v>1</v>
      </c>
      <c r="F316" s="1">
        <v>1</v>
      </c>
      <c r="G316" s="1">
        <v>0</v>
      </c>
      <c r="H316" s="1">
        <v>0.5</v>
      </c>
      <c r="N316" s="1" t="s">
        <v>808</v>
      </c>
      <c r="O316" s="1" t="s">
        <v>808</v>
      </c>
      <c r="P316" s="1">
        <v>19</v>
      </c>
      <c r="Q316" s="1">
        <v>21</v>
      </c>
      <c r="S316" s="1" t="str">
        <f t="shared" si="36"/>
        <v>1-1</v>
      </c>
      <c r="T316" s="1" t="str">
        <f t="shared" si="36"/>
        <v>1-3</v>
      </c>
      <c r="U316" s="1" t="str">
        <f t="shared" si="36"/>
        <v>6-18</v>
      </c>
      <c r="V316" s="1">
        <f t="shared" si="35"/>
        <v>12</v>
      </c>
    </row>
    <row r="317" spans="1:22">
      <c r="A317" s="1" t="s">
        <v>358</v>
      </c>
      <c r="B317" s="1" t="s">
        <v>359</v>
      </c>
      <c r="C317" s="1" t="s">
        <v>39</v>
      </c>
      <c r="D317" s="1" t="s">
        <v>359</v>
      </c>
      <c r="E317" s="1">
        <v>1</v>
      </c>
      <c r="F317" s="1">
        <v>1</v>
      </c>
      <c r="G317" s="1">
        <v>0</v>
      </c>
      <c r="H317" s="1">
        <v>0.5</v>
      </c>
      <c r="N317" s="1" t="s">
        <v>809</v>
      </c>
      <c r="O317" s="1" t="s">
        <v>809</v>
      </c>
      <c r="P317" s="1">
        <v>25</v>
      </c>
      <c r="Q317" s="1">
        <v>28</v>
      </c>
      <c r="S317" s="1" t="str">
        <f t="shared" si="36"/>
        <v>1-1</v>
      </c>
      <c r="T317" s="1" t="str">
        <f t="shared" si="36"/>
        <v>1-3</v>
      </c>
      <c r="U317" s="1" t="str">
        <f t="shared" si="36"/>
        <v>6-18</v>
      </c>
      <c r="V317" s="1">
        <f t="shared" si="35"/>
        <v>12</v>
      </c>
    </row>
    <row r="318" spans="1:22">
      <c r="A318" s="1" t="s">
        <v>360</v>
      </c>
      <c r="B318" s="1" t="s">
        <v>361</v>
      </c>
      <c r="C318" s="1" t="s">
        <v>39</v>
      </c>
      <c r="D318" s="1" t="s">
        <v>361</v>
      </c>
      <c r="E318" s="1">
        <v>1</v>
      </c>
      <c r="F318" s="1">
        <v>1</v>
      </c>
      <c r="G318" s="1">
        <v>0</v>
      </c>
      <c r="H318" s="1">
        <v>0.5</v>
      </c>
      <c r="N318" s="1" t="s">
        <v>810</v>
      </c>
      <c r="O318" s="1" t="s">
        <v>810</v>
      </c>
      <c r="P318" s="1">
        <v>31</v>
      </c>
      <c r="Q318" s="1">
        <v>35</v>
      </c>
      <c r="S318" s="1" t="str">
        <f t="shared" si="36"/>
        <v>1-1</v>
      </c>
      <c r="T318" s="1" t="str">
        <f t="shared" si="36"/>
        <v>1-3</v>
      </c>
      <c r="U318" s="1" t="str">
        <f t="shared" si="36"/>
        <v>6-18</v>
      </c>
      <c r="V318" s="1">
        <f t="shared" si="35"/>
        <v>12</v>
      </c>
    </row>
    <row r="319" spans="1:22">
      <c r="A319" s="1" t="s">
        <v>362</v>
      </c>
      <c r="B319" s="1" t="s">
        <v>363</v>
      </c>
      <c r="C319" s="1" t="s">
        <v>39</v>
      </c>
      <c r="D319" s="1" t="s">
        <v>363</v>
      </c>
      <c r="E319" s="1">
        <v>1</v>
      </c>
      <c r="F319" s="1">
        <v>1</v>
      </c>
      <c r="G319" s="1">
        <v>0</v>
      </c>
      <c r="H319" s="1">
        <v>0.5</v>
      </c>
      <c r="N319" s="1" t="s">
        <v>811</v>
      </c>
      <c r="O319" s="1" t="s">
        <v>811</v>
      </c>
      <c r="P319" s="1">
        <v>1</v>
      </c>
      <c r="Q319" s="1">
        <v>1</v>
      </c>
      <c r="S319" s="1" t="str">
        <f t="shared" si="36"/>
        <v>1-1</v>
      </c>
      <c r="T319" s="1" t="str">
        <f t="shared" si="36"/>
        <v>1-3</v>
      </c>
      <c r="U319" s="1" t="str">
        <f t="shared" si="36"/>
        <v>6-18</v>
      </c>
      <c r="V319" s="1">
        <f t="shared" si="35"/>
        <v>12</v>
      </c>
    </row>
    <row r="320" spans="1:22">
      <c r="A320" s="1" t="s">
        <v>364</v>
      </c>
      <c r="B320" s="1" t="s">
        <v>365</v>
      </c>
      <c r="C320" s="1" t="s">
        <v>39</v>
      </c>
      <c r="D320" s="1" t="s">
        <v>365</v>
      </c>
      <c r="E320" s="1">
        <v>1</v>
      </c>
      <c r="F320" s="1">
        <v>1</v>
      </c>
      <c r="G320" s="1">
        <v>0</v>
      </c>
      <c r="H320" s="1">
        <v>0.5</v>
      </c>
      <c r="N320" s="1" t="s">
        <v>812</v>
      </c>
      <c r="O320" s="1" t="s">
        <v>812</v>
      </c>
      <c r="P320" s="1">
        <v>6</v>
      </c>
      <c r="Q320" s="1">
        <v>7</v>
      </c>
      <c r="S320" s="1" t="str">
        <f t="shared" si="36"/>
        <v>1-1</v>
      </c>
      <c r="T320" s="1" t="str">
        <f t="shared" si="36"/>
        <v>1-3</v>
      </c>
      <c r="U320" s="1" t="str">
        <f t="shared" si="36"/>
        <v>6-18</v>
      </c>
      <c r="V320" s="1">
        <f t="shared" si="35"/>
        <v>12</v>
      </c>
    </row>
    <row r="321" spans="1:22">
      <c r="A321" s="1" t="s">
        <v>366</v>
      </c>
      <c r="B321" s="1" t="s">
        <v>367</v>
      </c>
      <c r="C321" s="1" t="s">
        <v>39</v>
      </c>
      <c r="D321" s="1" t="s">
        <v>367</v>
      </c>
      <c r="E321" s="1">
        <v>1</v>
      </c>
      <c r="F321" s="1">
        <v>1</v>
      </c>
      <c r="G321" s="1">
        <v>0</v>
      </c>
      <c r="H321" s="1">
        <v>0.5</v>
      </c>
      <c r="N321" s="1" t="s">
        <v>813</v>
      </c>
      <c r="O321" s="1" t="s">
        <v>813</v>
      </c>
      <c r="P321" s="1">
        <v>12</v>
      </c>
      <c r="Q321" s="1">
        <v>14</v>
      </c>
      <c r="S321" s="1" t="str">
        <f t="shared" si="36"/>
        <v>1-1</v>
      </c>
      <c r="T321" s="1" t="str">
        <f t="shared" si="36"/>
        <v>1-3</v>
      </c>
      <c r="U321" s="1" t="str">
        <f t="shared" si="36"/>
        <v>6-18</v>
      </c>
      <c r="V321" s="1">
        <f t="shared" si="35"/>
        <v>12</v>
      </c>
    </row>
    <row r="322" spans="1:22">
      <c r="A322" s="1" t="s">
        <v>368</v>
      </c>
      <c r="B322" s="1" t="s">
        <v>369</v>
      </c>
      <c r="C322" s="1" t="s">
        <v>39</v>
      </c>
      <c r="D322" s="1" t="s">
        <v>369</v>
      </c>
      <c r="E322" s="1">
        <v>1</v>
      </c>
      <c r="F322" s="1">
        <v>1</v>
      </c>
      <c r="G322" s="1">
        <v>0</v>
      </c>
      <c r="H322" s="1">
        <v>0.5</v>
      </c>
      <c r="N322" s="1" t="s">
        <v>814</v>
      </c>
      <c r="O322" s="1" t="s">
        <v>814</v>
      </c>
      <c r="P322" s="1">
        <v>19</v>
      </c>
      <c r="Q322" s="1">
        <v>21</v>
      </c>
      <c r="S322" s="1" t="str">
        <f t="shared" si="36"/>
        <v>1-1</v>
      </c>
      <c r="T322" s="1" t="str">
        <f t="shared" si="36"/>
        <v>1-3</v>
      </c>
      <c r="U322" s="1" t="str">
        <f t="shared" si="36"/>
        <v>6-18</v>
      </c>
      <c r="V322" s="1">
        <f t="shared" si="35"/>
        <v>12</v>
      </c>
    </row>
    <row r="323" spans="1:22">
      <c r="A323" s="1" t="s">
        <v>370</v>
      </c>
      <c r="B323" s="1" t="s">
        <v>371</v>
      </c>
      <c r="C323" s="1" t="s">
        <v>39</v>
      </c>
      <c r="D323" s="1" t="s">
        <v>371</v>
      </c>
      <c r="E323" s="1">
        <v>1</v>
      </c>
      <c r="F323" s="1">
        <v>1</v>
      </c>
      <c r="G323" s="1">
        <v>0</v>
      </c>
      <c r="H323" s="1">
        <v>0.5</v>
      </c>
      <c r="N323" s="1" t="s">
        <v>815</v>
      </c>
      <c r="O323" s="1" t="s">
        <v>815</v>
      </c>
      <c r="P323" s="1">
        <v>25</v>
      </c>
      <c r="Q323" s="1">
        <v>28</v>
      </c>
      <c r="S323" s="1" t="str">
        <f t="shared" si="36"/>
        <v>1-1</v>
      </c>
      <c r="T323" s="1" t="str">
        <f t="shared" si="36"/>
        <v>1-3</v>
      </c>
      <c r="U323" s="1" t="str">
        <f t="shared" si="36"/>
        <v>6-18</v>
      </c>
      <c r="V323" s="1">
        <f t="shared" si="35"/>
        <v>12</v>
      </c>
    </row>
    <row r="324" spans="1:22">
      <c r="A324" s="1" t="s">
        <v>372</v>
      </c>
      <c r="B324" s="1" t="s">
        <v>373</v>
      </c>
      <c r="C324" s="1" t="s">
        <v>39</v>
      </c>
      <c r="D324" s="1" t="s">
        <v>373</v>
      </c>
      <c r="E324" s="1">
        <v>1</v>
      </c>
      <c r="F324" s="1">
        <v>1</v>
      </c>
      <c r="G324" s="1">
        <v>0</v>
      </c>
      <c r="H324" s="1">
        <v>0.5</v>
      </c>
      <c r="N324" s="1" t="s">
        <v>816</v>
      </c>
      <c r="O324" s="1" t="s">
        <v>816</v>
      </c>
      <c r="P324" s="1">
        <v>31</v>
      </c>
      <c r="Q324" s="1">
        <v>35</v>
      </c>
      <c r="S324" s="1" t="str">
        <f t="shared" si="36"/>
        <v>1-1</v>
      </c>
      <c r="T324" s="1" t="str">
        <f t="shared" si="36"/>
        <v>1-3</v>
      </c>
      <c r="U324" s="1" t="str">
        <f t="shared" si="36"/>
        <v>6-18</v>
      </c>
      <c r="V324" s="1">
        <f t="shared" si="35"/>
        <v>12</v>
      </c>
    </row>
    <row r="325" spans="1:22">
      <c r="A325" s="1" t="s">
        <v>104</v>
      </c>
      <c r="B325" s="1" t="s">
        <v>529</v>
      </c>
      <c r="C325" s="1" t="s">
        <v>39</v>
      </c>
      <c r="D325" s="1" t="s">
        <v>392</v>
      </c>
      <c r="E325" s="1">
        <v>1</v>
      </c>
      <c r="F325" s="1">
        <v>1</v>
      </c>
      <c r="G325" s="1">
        <v>0</v>
      </c>
      <c r="H325" s="1">
        <v>2</v>
      </c>
      <c r="K325" s="1" t="s">
        <v>117</v>
      </c>
      <c r="L325" s="1" t="s">
        <v>552</v>
      </c>
      <c r="M325" s="1" t="s">
        <v>573</v>
      </c>
      <c r="P325" s="1">
        <v>6</v>
      </c>
      <c r="Q325" s="1">
        <v>7</v>
      </c>
      <c r="R325" s="1">
        <v>100</v>
      </c>
      <c r="S325" s="1" t="str">
        <f t="shared" si="30"/>
        <v>1-1</v>
      </c>
      <c r="T325" s="1" t="str">
        <f t="shared" si="30"/>
        <v>1-9</v>
      </c>
      <c r="U325" s="1" t="str">
        <f t="shared" si="30"/>
        <v>6-54</v>
      </c>
      <c r="V325" s="1">
        <f t="shared" ref="V325" si="37">_xlfn.LET(_xlpm.a,($E325+U$3*$G325)*(1+U$2),_xlpm.b,($F325+U$3*$H325)*(1+U$2),_xlpm.a/2+_xlpm.b/2)</f>
        <v>30</v>
      </c>
    </row>
    <row r="326" spans="1:22">
      <c r="A326" s="1" t="s">
        <v>105</v>
      </c>
      <c r="B326" s="1" t="s">
        <v>530</v>
      </c>
      <c r="C326" s="1" t="s">
        <v>39</v>
      </c>
      <c r="D326" s="1" t="s">
        <v>392</v>
      </c>
      <c r="E326" s="1">
        <v>1</v>
      </c>
      <c r="F326" s="1">
        <v>1</v>
      </c>
      <c r="G326" s="1">
        <v>0</v>
      </c>
      <c r="H326" s="1">
        <v>2</v>
      </c>
      <c r="K326" s="1" t="s">
        <v>118</v>
      </c>
      <c r="L326" s="1" t="s">
        <v>552</v>
      </c>
      <c r="M326" s="1" t="s">
        <v>573</v>
      </c>
      <c r="P326" s="1">
        <v>25</v>
      </c>
      <c r="Q326" s="1">
        <v>28</v>
      </c>
      <c r="R326" s="1">
        <v>100</v>
      </c>
      <c r="S326" s="1" t="str">
        <f t="shared" si="30"/>
        <v>1-1</v>
      </c>
      <c r="T326" s="1" t="str">
        <f t="shared" si="30"/>
        <v>1-9</v>
      </c>
      <c r="U326" s="1" t="str">
        <f t="shared" si="30"/>
        <v>6-54</v>
      </c>
      <c r="V326" s="1">
        <f t="shared" ref="V326:V333" si="38">_xlfn.LET(_xlpm.a,($E326+U$3*$G326)*(1+U$2),_xlpm.b,($F326+U$3*$H326)*(1+U$2),_xlpm.a/2+_xlpm.b/2)</f>
        <v>30</v>
      </c>
    </row>
    <row r="327" spans="1:22">
      <c r="A327" s="1" t="s">
        <v>106</v>
      </c>
      <c r="B327" s="1" t="s">
        <v>531</v>
      </c>
      <c r="C327" s="1" t="s">
        <v>39</v>
      </c>
      <c r="D327" s="1" t="s">
        <v>392</v>
      </c>
      <c r="E327" s="1">
        <v>1</v>
      </c>
      <c r="F327" s="1">
        <v>1</v>
      </c>
      <c r="G327" s="1">
        <v>0</v>
      </c>
      <c r="H327" s="1">
        <v>2</v>
      </c>
      <c r="K327" s="1" t="s">
        <v>119</v>
      </c>
      <c r="L327" s="1" t="s">
        <v>552</v>
      </c>
      <c r="M327" s="1" t="s">
        <v>573</v>
      </c>
      <c r="P327" s="1">
        <v>12</v>
      </c>
      <c r="Q327" s="1">
        <v>14</v>
      </c>
      <c r="R327" s="1">
        <v>100</v>
      </c>
      <c r="S327" s="1" t="str">
        <f t="shared" ref="S327:U347" si="39">_xlfn.LET(_xlpm.a,($E327+S$3*$G327)*(1+S$2),_xlpm.b,($F327+S$3*$H327)*(1+S$2),_xlpm.a&amp;"-"&amp;_xlpm.b)</f>
        <v>1-1</v>
      </c>
      <c r="T327" s="1" t="str">
        <f t="shared" si="39"/>
        <v>1-9</v>
      </c>
      <c r="U327" s="1" t="str">
        <f t="shared" si="39"/>
        <v>6-54</v>
      </c>
      <c r="V327" s="1">
        <f t="shared" si="38"/>
        <v>30</v>
      </c>
    </row>
    <row r="328" spans="1:22">
      <c r="A328" s="1" t="s">
        <v>109</v>
      </c>
      <c r="B328" s="1" t="s">
        <v>532</v>
      </c>
      <c r="C328" s="1" t="s">
        <v>39</v>
      </c>
      <c r="D328" s="1" t="s">
        <v>392</v>
      </c>
      <c r="E328" s="1">
        <v>1</v>
      </c>
      <c r="F328" s="1">
        <v>1</v>
      </c>
      <c r="G328" s="1">
        <v>0</v>
      </c>
      <c r="H328" s="1">
        <v>2</v>
      </c>
      <c r="K328" s="1" t="s">
        <v>120</v>
      </c>
      <c r="L328" s="1" t="s">
        <v>552</v>
      </c>
      <c r="M328" s="1" t="s">
        <v>573</v>
      </c>
      <c r="P328" s="1">
        <v>31</v>
      </c>
      <c r="Q328" s="1">
        <v>35</v>
      </c>
      <c r="R328" s="1">
        <v>100</v>
      </c>
      <c r="S328" s="1" t="str">
        <f t="shared" si="39"/>
        <v>1-1</v>
      </c>
      <c r="T328" s="1" t="str">
        <f t="shared" si="39"/>
        <v>1-9</v>
      </c>
      <c r="U328" s="1" t="str">
        <f t="shared" si="39"/>
        <v>6-54</v>
      </c>
      <c r="V328" s="1">
        <f t="shared" si="38"/>
        <v>30</v>
      </c>
    </row>
    <row r="329" spans="1:22">
      <c r="A329" s="1" t="s">
        <v>110</v>
      </c>
      <c r="B329" s="1" t="s">
        <v>533</v>
      </c>
      <c r="C329" s="1" t="s">
        <v>39</v>
      </c>
      <c r="D329" s="1" t="s">
        <v>393</v>
      </c>
      <c r="E329" s="1">
        <v>1</v>
      </c>
      <c r="F329" s="1">
        <v>1</v>
      </c>
      <c r="G329" s="1">
        <v>0</v>
      </c>
      <c r="H329" s="1">
        <v>2</v>
      </c>
      <c r="K329" s="1" t="s">
        <v>121</v>
      </c>
      <c r="L329" s="1" t="s">
        <v>552</v>
      </c>
      <c r="M329" s="1" t="s">
        <v>548</v>
      </c>
      <c r="P329" s="1">
        <v>12</v>
      </c>
      <c r="Q329" s="1">
        <v>14</v>
      </c>
      <c r="R329" s="1">
        <v>100</v>
      </c>
      <c r="S329" s="1" t="str">
        <f t="shared" si="39"/>
        <v>1-1</v>
      </c>
      <c r="T329" s="1" t="str">
        <f t="shared" si="39"/>
        <v>1-9</v>
      </c>
      <c r="U329" s="1" t="str">
        <f t="shared" si="39"/>
        <v>6-54</v>
      </c>
      <c r="V329" s="1">
        <f t="shared" si="38"/>
        <v>30</v>
      </c>
    </row>
    <row r="330" spans="1:22">
      <c r="A330" s="1" t="s">
        <v>107</v>
      </c>
      <c r="B330" s="1" t="s">
        <v>534</v>
      </c>
      <c r="C330" s="1" t="s">
        <v>39</v>
      </c>
      <c r="D330" s="1" t="s">
        <v>393</v>
      </c>
      <c r="E330" s="1">
        <v>1</v>
      </c>
      <c r="F330" s="1">
        <v>1</v>
      </c>
      <c r="G330" s="1">
        <v>0</v>
      </c>
      <c r="H330" s="1">
        <v>2</v>
      </c>
      <c r="K330" s="1" t="s">
        <v>122</v>
      </c>
      <c r="L330" s="1" t="s">
        <v>552</v>
      </c>
      <c r="M330" s="1" t="s">
        <v>548</v>
      </c>
      <c r="P330" s="1">
        <v>25</v>
      </c>
      <c r="Q330" s="1">
        <v>28</v>
      </c>
      <c r="R330" s="1">
        <v>100</v>
      </c>
      <c r="S330" s="1" t="str">
        <f t="shared" si="39"/>
        <v>1-1</v>
      </c>
      <c r="T330" s="1" t="str">
        <f t="shared" si="39"/>
        <v>1-9</v>
      </c>
      <c r="U330" s="1" t="str">
        <f t="shared" si="39"/>
        <v>6-54</v>
      </c>
      <c r="V330" s="1">
        <f t="shared" si="38"/>
        <v>30</v>
      </c>
    </row>
    <row r="331" spans="1:22">
      <c r="A331" s="1" t="s">
        <v>108</v>
      </c>
      <c r="B331" s="1" t="s">
        <v>535</v>
      </c>
      <c r="C331" s="1" t="s">
        <v>39</v>
      </c>
      <c r="D331" s="1" t="s">
        <v>393</v>
      </c>
      <c r="E331" s="1">
        <v>1</v>
      </c>
      <c r="F331" s="1">
        <v>1</v>
      </c>
      <c r="G331" s="1">
        <v>0</v>
      </c>
      <c r="H331" s="1">
        <v>2</v>
      </c>
      <c r="K331" s="1" t="s">
        <v>123</v>
      </c>
      <c r="L331" s="1" t="s">
        <v>552</v>
      </c>
      <c r="M331" s="1" t="s">
        <v>548</v>
      </c>
      <c r="P331" s="1">
        <v>6</v>
      </c>
      <c r="Q331" s="1">
        <v>7</v>
      </c>
      <c r="R331" s="1">
        <v>100</v>
      </c>
      <c r="S331" s="1" t="str">
        <f t="shared" si="39"/>
        <v>1-1</v>
      </c>
      <c r="T331" s="1" t="str">
        <f t="shared" si="39"/>
        <v>1-9</v>
      </c>
      <c r="U331" s="1" t="str">
        <f t="shared" si="39"/>
        <v>6-54</v>
      </c>
      <c r="V331" s="1">
        <f t="shared" si="38"/>
        <v>30</v>
      </c>
    </row>
    <row r="332" spans="1:22">
      <c r="A332" s="1" t="s">
        <v>111</v>
      </c>
      <c r="B332" s="1" t="s">
        <v>536</v>
      </c>
      <c r="C332" s="1" t="s">
        <v>39</v>
      </c>
      <c r="D332" s="1" t="s">
        <v>393</v>
      </c>
      <c r="E332" s="1">
        <v>1</v>
      </c>
      <c r="F332" s="1">
        <v>1</v>
      </c>
      <c r="G332" s="1">
        <v>0</v>
      </c>
      <c r="H332" s="1">
        <v>2</v>
      </c>
      <c r="K332" s="1" t="s">
        <v>124</v>
      </c>
      <c r="L332" s="1" t="s">
        <v>552</v>
      </c>
      <c r="M332" s="1" t="s">
        <v>548</v>
      </c>
      <c r="P332" s="1">
        <v>19</v>
      </c>
      <c r="Q332" s="1">
        <v>21</v>
      </c>
      <c r="R332" s="1">
        <v>100</v>
      </c>
      <c r="S332" s="1" t="str">
        <f t="shared" si="39"/>
        <v>1-1</v>
      </c>
      <c r="T332" s="1" t="str">
        <f t="shared" si="39"/>
        <v>1-9</v>
      </c>
      <c r="U332" s="1" t="str">
        <f t="shared" si="39"/>
        <v>6-54</v>
      </c>
      <c r="V332" s="1">
        <f t="shared" si="38"/>
        <v>30</v>
      </c>
    </row>
    <row r="333" spans="1:22">
      <c r="A333" s="1" t="s">
        <v>555</v>
      </c>
      <c r="B333" s="1" t="s">
        <v>561</v>
      </c>
      <c r="C333" s="1" t="s">
        <v>39</v>
      </c>
      <c r="D333" s="1" t="s">
        <v>554</v>
      </c>
      <c r="E333" s="1">
        <v>1</v>
      </c>
      <c r="F333" s="1">
        <v>1</v>
      </c>
      <c r="G333" s="1">
        <v>0</v>
      </c>
      <c r="H333" s="1">
        <v>2</v>
      </c>
      <c r="K333" s="1" t="s">
        <v>556</v>
      </c>
      <c r="L333" s="1" t="s">
        <v>552</v>
      </c>
      <c r="M333" s="1" t="s">
        <v>568</v>
      </c>
      <c r="P333" s="1">
        <v>37</v>
      </c>
      <c r="Q333" s="1">
        <v>42</v>
      </c>
      <c r="R333" s="1">
        <v>100</v>
      </c>
      <c r="S333" s="1" t="str">
        <f t="shared" si="39"/>
        <v>1-1</v>
      </c>
      <c r="T333" s="1" t="str">
        <f t="shared" si="39"/>
        <v>1-9</v>
      </c>
      <c r="U333" s="1" t="str">
        <f t="shared" si="39"/>
        <v>6-54</v>
      </c>
      <c r="V333" s="1">
        <f t="shared" si="38"/>
        <v>30</v>
      </c>
    </row>
    <row r="334" spans="1:22">
      <c r="A334" s="1" t="s">
        <v>557</v>
      </c>
      <c r="B334" s="1" t="s">
        <v>564</v>
      </c>
      <c r="C334" s="1" t="s">
        <v>39</v>
      </c>
      <c r="D334" s="1" t="s">
        <v>554</v>
      </c>
      <c r="E334" s="1">
        <v>1</v>
      </c>
      <c r="F334" s="1">
        <v>1</v>
      </c>
      <c r="G334" s="1">
        <v>0</v>
      </c>
      <c r="H334" s="1">
        <v>2</v>
      </c>
      <c r="K334" s="1" t="s">
        <v>558</v>
      </c>
      <c r="L334" s="1" t="s">
        <v>552</v>
      </c>
      <c r="M334" s="1" t="s">
        <v>568</v>
      </c>
      <c r="P334" s="1">
        <v>25</v>
      </c>
      <c r="Q334" s="1">
        <v>28</v>
      </c>
      <c r="R334" s="1">
        <v>100</v>
      </c>
      <c r="S334" s="1" t="str">
        <f t="shared" si="39"/>
        <v>1-1</v>
      </c>
      <c r="T334" s="1" t="str">
        <f t="shared" si="39"/>
        <v>1-9</v>
      </c>
      <c r="U334" s="1" t="str">
        <f t="shared" si="39"/>
        <v>6-54</v>
      </c>
      <c r="V334" s="1">
        <f t="shared" ref="V334" si="40">_xlfn.LET(_xlpm.a,($E334+U$3*$G334)*(1+U$2),_xlpm.b,($F334+U$3*$H334)*(1+U$2),_xlpm.a/2+_xlpm.b/2)</f>
        <v>30</v>
      </c>
    </row>
    <row r="335" spans="1:22">
      <c r="A335" s="1" t="s">
        <v>559</v>
      </c>
      <c r="B335" s="1" t="s">
        <v>565</v>
      </c>
      <c r="C335" s="1" t="s">
        <v>39</v>
      </c>
      <c r="D335" s="1" t="s">
        <v>554</v>
      </c>
      <c r="E335" s="1">
        <v>1</v>
      </c>
      <c r="F335" s="1">
        <v>1</v>
      </c>
      <c r="G335" s="1">
        <v>0</v>
      </c>
      <c r="H335" s="1">
        <v>2</v>
      </c>
      <c r="K335" s="1" t="s">
        <v>560</v>
      </c>
      <c r="L335" s="1" t="s">
        <v>552</v>
      </c>
      <c r="M335" s="1" t="s">
        <v>568</v>
      </c>
      <c r="P335" s="1">
        <v>19</v>
      </c>
      <c r="Q335" s="1">
        <v>21</v>
      </c>
      <c r="R335" s="1">
        <v>100</v>
      </c>
      <c r="S335" s="1" t="str">
        <f t="shared" si="39"/>
        <v>1-1</v>
      </c>
      <c r="T335" s="1" t="str">
        <f t="shared" si="39"/>
        <v>1-9</v>
      </c>
      <c r="U335" s="1" t="str">
        <f t="shared" si="39"/>
        <v>6-54</v>
      </c>
      <c r="V335" s="1">
        <f t="shared" ref="V335" si="41">_xlfn.LET(_xlpm.a,($E335+U$3*$G335)*(1+U$2),_xlpm.b,($F335+U$3*$H335)*(1+U$2),_xlpm.a/2+_xlpm.b/2)</f>
        <v>30</v>
      </c>
    </row>
    <row r="336" spans="1:22">
      <c r="A336" s="1" t="s">
        <v>562</v>
      </c>
      <c r="B336" s="1" t="s">
        <v>563</v>
      </c>
      <c r="C336" s="1" t="s">
        <v>39</v>
      </c>
      <c r="D336" s="1" t="s">
        <v>554</v>
      </c>
      <c r="E336" s="1">
        <v>1</v>
      </c>
      <c r="F336" s="1">
        <v>1</v>
      </c>
      <c r="G336" s="1">
        <v>0</v>
      </c>
      <c r="H336" s="1">
        <v>2</v>
      </c>
      <c r="K336" s="1" t="s">
        <v>566</v>
      </c>
      <c r="L336" s="1" t="s">
        <v>552</v>
      </c>
      <c r="M336" s="1" t="s">
        <v>568</v>
      </c>
      <c r="P336" s="1">
        <v>19</v>
      </c>
      <c r="Q336" s="1">
        <v>21</v>
      </c>
      <c r="R336" s="1">
        <v>100</v>
      </c>
      <c r="S336" s="1" t="str">
        <f t="shared" si="39"/>
        <v>1-1</v>
      </c>
      <c r="T336" s="1" t="str">
        <f t="shared" si="39"/>
        <v>1-9</v>
      </c>
      <c r="U336" s="1" t="str">
        <f t="shared" si="39"/>
        <v>6-54</v>
      </c>
      <c r="V336" s="1">
        <f t="shared" ref="V336" si="42">_xlfn.LET(_xlpm.a,($E336+U$3*$G336)*(1+U$2),_xlpm.b,($F336+U$3*$H336)*(1+U$2),_xlpm.a/2+_xlpm.b/2)</f>
        <v>30</v>
      </c>
    </row>
    <row r="337" spans="1:22">
      <c r="A337" s="1" t="s">
        <v>116</v>
      </c>
      <c r="B337" s="1" t="s">
        <v>537</v>
      </c>
      <c r="C337" s="1" t="s">
        <v>39</v>
      </c>
      <c r="D337" s="1" t="s">
        <v>247</v>
      </c>
      <c r="E337" s="1">
        <v>1</v>
      </c>
      <c r="F337" s="1">
        <v>10</v>
      </c>
      <c r="G337" s="1">
        <v>0</v>
      </c>
      <c r="H337" s="1">
        <v>1.25</v>
      </c>
      <c r="M337" s="1" t="s">
        <v>852</v>
      </c>
      <c r="R337" s="1">
        <v>100</v>
      </c>
      <c r="S337" s="1" t="str">
        <f t="shared" si="39"/>
        <v>1-10</v>
      </c>
      <c r="T337" s="1" t="str">
        <f t="shared" si="39"/>
        <v>1-15</v>
      </c>
      <c r="U337" s="1" t="str">
        <f t="shared" si="39"/>
        <v>6-90</v>
      </c>
      <c r="V337" s="1">
        <f t="shared" ref="V337" si="43">_xlfn.LET(_xlpm.a,($E337+U$3*$G337)*(1+U$2),_xlpm.b,($F337+U$3*$H337)*(1+U$2),_xlpm.a/2+_xlpm.b/2)</f>
        <v>48</v>
      </c>
    </row>
    <row r="338" spans="1:22">
      <c r="A338" s="1" t="s">
        <v>272</v>
      </c>
      <c r="B338" s="1" t="s">
        <v>538</v>
      </c>
      <c r="C338" s="1" t="s">
        <v>39</v>
      </c>
      <c r="D338" s="1" t="s">
        <v>273</v>
      </c>
      <c r="E338" s="1">
        <v>1</v>
      </c>
      <c r="F338" s="1">
        <v>10</v>
      </c>
      <c r="G338" s="1">
        <v>0</v>
      </c>
      <c r="H338" s="1">
        <v>1.25</v>
      </c>
      <c r="M338" s="1" t="s">
        <v>852</v>
      </c>
      <c r="R338" s="1">
        <v>100</v>
      </c>
      <c r="S338" s="1" t="str">
        <f t="shared" si="39"/>
        <v>1-10</v>
      </c>
      <c r="T338" s="1" t="str">
        <f t="shared" si="39"/>
        <v>1-15</v>
      </c>
      <c r="U338" s="1" t="str">
        <f t="shared" si="39"/>
        <v>6-90</v>
      </c>
      <c r="V338" s="1">
        <f t="shared" ref="V338" si="44">_xlfn.LET(_xlpm.a,($E338+U$3*$G338)*(1+U$2),_xlpm.b,($F338+U$3*$H338)*(1+U$2),_xlpm.a/2+_xlpm.b/2)</f>
        <v>48</v>
      </c>
    </row>
    <row r="339" spans="1:22">
      <c r="A339" s="1" t="s">
        <v>274</v>
      </c>
      <c r="B339" s="1" t="s">
        <v>539</v>
      </c>
      <c r="C339" s="1" t="s">
        <v>39</v>
      </c>
      <c r="D339" s="1" t="s">
        <v>275</v>
      </c>
      <c r="E339" s="1">
        <v>1</v>
      </c>
      <c r="F339" s="1">
        <v>1</v>
      </c>
      <c r="G339" s="1">
        <v>0</v>
      </c>
      <c r="H339" s="1">
        <v>0.25</v>
      </c>
      <c r="M339" s="1" t="s">
        <v>864</v>
      </c>
      <c r="R339" s="1">
        <v>100</v>
      </c>
      <c r="S339" s="1" t="str">
        <f t="shared" si="39"/>
        <v>1-1</v>
      </c>
      <c r="T339" s="1" t="str">
        <f t="shared" si="39"/>
        <v>1-2</v>
      </c>
      <c r="U339" s="1" t="str">
        <f t="shared" si="39"/>
        <v>6-12</v>
      </c>
      <c r="V339" s="1">
        <f t="shared" ref="V339" si="45">_xlfn.LET(_xlpm.a,($E339+U$3*$G339)*(1+U$2),_xlpm.b,($F339+U$3*$H339)*(1+U$2),_xlpm.a/2+_xlpm.b/2)</f>
        <v>9</v>
      </c>
    </row>
    <row r="340" spans="1:22">
      <c r="A340" s="1" t="s">
        <v>278</v>
      </c>
      <c r="B340" s="1" t="s">
        <v>540</v>
      </c>
      <c r="C340" s="1" t="s">
        <v>39</v>
      </c>
      <c r="D340" s="1" t="s">
        <v>276</v>
      </c>
      <c r="E340" s="1">
        <v>1</v>
      </c>
      <c r="F340" s="1">
        <v>5</v>
      </c>
      <c r="G340" s="1">
        <v>0</v>
      </c>
      <c r="H340" s="1">
        <v>1.25</v>
      </c>
      <c r="P340" s="1">
        <v>28</v>
      </c>
      <c r="Q340" s="1">
        <v>32</v>
      </c>
      <c r="S340" s="1" t="str">
        <f t="shared" si="39"/>
        <v>1-5</v>
      </c>
      <c r="T340" s="1" t="str">
        <f t="shared" si="39"/>
        <v>1-10</v>
      </c>
      <c r="U340" s="1" t="str">
        <f t="shared" si="39"/>
        <v>6-60</v>
      </c>
      <c r="V340" s="1">
        <f t="shared" ref="V340:V341" si="46">_xlfn.LET(_xlpm.a,($E340+U$3*$G340)*(1+U$2),_xlpm.b,($F340+U$3*$H340)*(1+U$2),_xlpm.a/2+_xlpm.b/2)</f>
        <v>33</v>
      </c>
    </row>
    <row r="341" spans="1:22">
      <c r="A341" s="1" t="s">
        <v>279</v>
      </c>
      <c r="B341" s="1" t="s">
        <v>541</v>
      </c>
      <c r="C341" s="1" t="s">
        <v>39</v>
      </c>
      <c r="D341" s="1" t="s">
        <v>277</v>
      </c>
      <c r="E341" s="1">
        <v>5</v>
      </c>
      <c r="F341" s="1">
        <v>15</v>
      </c>
      <c r="G341" s="1">
        <v>1.25</v>
      </c>
      <c r="H341" s="1">
        <v>8.75</v>
      </c>
      <c r="M341" s="1" t="s">
        <v>867</v>
      </c>
      <c r="P341" s="1">
        <v>30</v>
      </c>
      <c r="Q341" s="1">
        <v>34</v>
      </c>
      <c r="R341" s="1">
        <v>20</v>
      </c>
      <c r="S341" s="1" t="str">
        <f t="shared" si="39"/>
        <v>5-15</v>
      </c>
      <c r="T341" s="1" t="str">
        <f t="shared" si="39"/>
        <v>10-50</v>
      </c>
      <c r="U341" s="1" t="str">
        <f t="shared" si="39"/>
        <v>60-300</v>
      </c>
      <c r="V341" s="1">
        <f t="shared" si="46"/>
        <v>180</v>
      </c>
    </row>
    <row r="342" spans="1:22">
      <c r="A342" s="1" t="s">
        <v>297</v>
      </c>
      <c r="B342" s="1" t="s">
        <v>542</v>
      </c>
      <c r="C342" s="1" t="s">
        <v>39</v>
      </c>
      <c r="D342" s="1" t="s">
        <v>291</v>
      </c>
      <c r="E342" s="1">
        <v>2.5</v>
      </c>
      <c r="F342" s="1">
        <v>5</v>
      </c>
      <c r="G342" s="1">
        <v>0.625</v>
      </c>
      <c r="H342" s="1">
        <v>1.25</v>
      </c>
      <c r="P342" s="1">
        <v>25</v>
      </c>
      <c r="Q342" s="1">
        <v>28</v>
      </c>
      <c r="S342" s="1" t="str">
        <f t="shared" si="39"/>
        <v>2.5-5</v>
      </c>
      <c r="T342" s="1" t="str">
        <f t="shared" si="39"/>
        <v>5-10</v>
      </c>
      <c r="U342" s="1" t="str">
        <f t="shared" si="39"/>
        <v>30-60</v>
      </c>
      <c r="V342" s="1">
        <f t="shared" ref="V342" si="47">_xlfn.LET(_xlpm.a,($E342+U$3*$G342)*(1+U$2),_xlpm.b,($F342+U$3*$H342)*(1+U$2),_xlpm.a/2+_xlpm.b/2)</f>
        <v>45</v>
      </c>
    </row>
    <row r="343" spans="1:22">
      <c r="A343" s="1" t="s">
        <v>298</v>
      </c>
      <c r="B343" s="1" t="s">
        <v>543</v>
      </c>
      <c r="C343" s="1" t="s">
        <v>39</v>
      </c>
      <c r="D343" s="1" t="s">
        <v>292</v>
      </c>
      <c r="E343" s="1">
        <v>5</v>
      </c>
      <c r="F343" s="1">
        <v>10</v>
      </c>
      <c r="G343" s="1">
        <v>1.25</v>
      </c>
      <c r="H343" s="1">
        <v>2.5</v>
      </c>
      <c r="P343" s="1">
        <v>25</v>
      </c>
      <c r="Q343" s="1">
        <v>28</v>
      </c>
      <c r="S343" s="1" t="str">
        <f t="shared" si="39"/>
        <v>5-10</v>
      </c>
      <c r="T343" s="1" t="str">
        <f t="shared" si="39"/>
        <v>10-20</v>
      </c>
      <c r="U343" s="1" t="str">
        <f t="shared" si="39"/>
        <v>60-120</v>
      </c>
      <c r="V343" s="1">
        <f t="shared" ref="V343:V346" si="48">_xlfn.LET(_xlpm.a,($E343+U$3*$G343)*(1+U$2),_xlpm.b,($F343+U$3*$H343)*(1+U$2),_xlpm.a/2+_xlpm.b/2)</f>
        <v>90</v>
      </c>
    </row>
    <row r="344" spans="1:22">
      <c r="A344" s="1" t="s">
        <v>299</v>
      </c>
      <c r="B344" s="1" t="s">
        <v>544</v>
      </c>
      <c r="C344" s="1" t="s">
        <v>39</v>
      </c>
      <c r="D344" s="1" t="s">
        <v>293</v>
      </c>
      <c r="E344" s="1">
        <v>5</v>
      </c>
      <c r="F344" s="1">
        <v>10</v>
      </c>
      <c r="G344" s="1">
        <v>1.25</v>
      </c>
      <c r="H344" s="1">
        <v>2.5</v>
      </c>
      <c r="P344" s="1">
        <v>25</v>
      </c>
      <c r="Q344" s="1">
        <v>28</v>
      </c>
      <c r="S344" s="1" t="str">
        <f t="shared" si="39"/>
        <v>5-10</v>
      </c>
      <c r="T344" s="1" t="str">
        <f t="shared" si="39"/>
        <v>10-20</v>
      </c>
      <c r="U344" s="1" t="str">
        <f t="shared" si="39"/>
        <v>60-120</v>
      </c>
      <c r="V344" s="1">
        <f t="shared" si="48"/>
        <v>90</v>
      </c>
    </row>
    <row r="345" spans="1:22">
      <c r="A345" s="1" t="s">
        <v>300</v>
      </c>
      <c r="B345" s="1" t="s">
        <v>545</v>
      </c>
      <c r="C345" s="1" t="s">
        <v>39</v>
      </c>
      <c r="D345" s="1" t="s">
        <v>294</v>
      </c>
      <c r="E345" s="1">
        <v>5</v>
      </c>
      <c r="F345" s="1">
        <v>10</v>
      </c>
      <c r="G345" s="1">
        <v>1.25</v>
      </c>
      <c r="H345" s="1">
        <v>2.5</v>
      </c>
      <c r="P345" s="1">
        <v>25</v>
      </c>
      <c r="Q345" s="1">
        <v>28</v>
      </c>
      <c r="S345" s="1" t="str">
        <f t="shared" si="39"/>
        <v>5-10</v>
      </c>
      <c r="T345" s="1" t="str">
        <f t="shared" si="39"/>
        <v>10-20</v>
      </c>
      <c r="U345" s="1" t="str">
        <f t="shared" si="39"/>
        <v>60-120</v>
      </c>
      <c r="V345" s="1">
        <f t="shared" si="48"/>
        <v>90</v>
      </c>
    </row>
    <row r="346" spans="1:22">
      <c r="A346" s="1" t="s">
        <v>301</v>
      </c>
      <c r="B346" s="1" t="s">
        <v>546</v>
      </c>
      <c r="C346" s="1" t="s">
        <v>39</v>
      </c>
      <c r="D346" s="1" t="s">
        <v>295</v>
      </c>
      <c r="E346" s="1">
        <v>5</v>
      </c>
      <c r="F346" s="1">
        <v>10</v>
      </c>
      <c r="G346" s="1">
        <v>1.25</v>
      </c>
      <c r="H346" s="1">
        <v>2.5</v>
      </c>
      <c r="P346" s="1">
        <v>25</v>
      </c>
      <c r="Q346" s="1">
        <v>28</v>
      </c>
      <c r="S346" s="1" t="str">
        <f t="shared" si="39"/>
        <v>5-10</v>
      </c>
      <c r="T346" s="1" t="str">
        <f t="shared" si="39"/>
        <v>10-20</v>
      </c>
      <c r="U346" s="1" t="str">
        <f t="shared" si="39"/>
        <v>60-120</v>
      </c>
      <c r="V346" s="1">
        <f t="shared" si="48"/>
        <v>90</v>
      </c>
    </row>
    <row r="347" spans="1:22">
      <c r="A347" s="1" t="s">
        <v>629</v>
      </c>
      <c r="B347" s="1" t="s">
        <v>629</v>
      </c>
      <c r="C347" s="1" t="s">
        <v>39</v>
      </c>
      <c r="D347" s="1" t="s">
        <v>291</v>
      </c>
      <c r="E347" s="1">
        <v>5</v>
      </c>
      <c r="F347" s="1">
        <v>5</v>
      </c>
      <c r="G347" s="1">
        <v>0</v>
      </c>
      <c r="H347" s="1">
        <v>0</v>
      </c>
      <c r="I347" s="1">
        <v>0</v>
      </c>
      <c r="S347" s="1" t="str">
        <f t="shared" si="39"/>
        <v>5-5</v>
      </c>
      <c r="T347" s="1" t="str">
        <f t="shared" si="39"/>
        <v>5-5</v>
      </c>
      <c r="U347" s="1" t="str">
        <f t="shared" si="39"/>
        <v>30-30</v>
      </c>
      <c r="V347" s="1">
        <f t="shared" ref="V347:V351" si="49">_xlfn.LET(_xlpm.a,($E347+U$3*$G347)*(1+U$2),_xlpm.b,($F347+U$3*$H347)*(1+U$2),_xlpm.a/2+_xlpm.b/2)</f>
        <v>30</v>
      </c>
    </row>
    <row r="348" spans="1:22">
      <c r="A348" s="1" t="s">
        <v>630</v>
      </c>
      <c r="B348" s="1" t="s">
        <v>630</v>
      </c>
      <c r="C348" s="1" t="s">
        <v>39</v>
      </c>
      <c r="D348" s="1" t="s">
        <v>292</v>
      </c>
      <c r="E348" s="1">
        <v>5</v>
      </c>
      <c r="F348" s="1">
        <v>5</v>
      </c>
      <c r="G348" s="1">
        <v>0</v>
      </c>
      <c r="H348" s="1">
        <v>0</v>
      </c>
      <c r="I348" s="1">
        <v>0</v>
      </c>
      <c r="S348" s="1" t="str">
        <f t="shared" ref="S348:U351" si="50">_xlfn.LET(_xlpm.a,($E348+S$3*$G348)*(1+S$2),_xlpm.b,($F348+S$3*$H348)*(1+S$2),_xlpm.a&amp;"-"&amp;_xlpm.b)</f>
        <v>5-5</v>
      </c>
      <c r="T348" s="1" t="str">
        <f t="shared" si="50"/>
        <v>5-5</v>
      </c>
      <c r="U348" s="1" t="str">
        <f t="shared" si="50"/>
        <v>30-30</v>
      </c>
      <c r="V348" s="1">
        <f t="shared" si="49"/>
        <v>30</v>
      </c>
    </row>
    <row r="349" spans="1:22">
      <c r="A349" s="1" t="s">
        <v>631</v>
      </c>
      <c r="B349" s="1" t="s">
        <v>631</v>
      </c>
      <c r="C349" s="1" t="s">
        <v>39</v>
      </c>
      <c r="D349" s="1" t="s">
        <v>293</v>
      </c>
      <c r="E349" s="1">
        <v>5</v>
      </c>
      <c r="F349" s="1">
        <v>5</v>
      </c>
      <c r="G349" s="1">
        <v>0</v>
      </c>
      <c r="H349" s="1">
        <v>0</v>
      </c>
      <c r="I349" s="1">
        <v>0</v>
      </c>
      <c r="S349" s="1" t="str">
        <f t="shared" si="50"/>
        <v>5-5</v>
      </c>
      <c r="T349" s="1" t="str">
        <f t="shared" si="50"/>
        <v>5-5</v>
      </c>
      <c r="U349" s="1" t="str">
        <f t="shared" si="50"/>
        <v>30-30</v>
      </c>
      <c r="V349" s="1">
        <f t="shared" si="49"/>
        <v>30</v>
      </c>
    </row>
    <row r="350" spans="1:22">
      <c r="A350" s="1" t="s">
        <v>632</v>
      </c>
      <c r="B350" s="1" t="s">
        <v>632</v>
      </c>
      <c r="C350" s="1" t="s">
        <v>39</v>
      </c>
      <c r="D350" s="1" t="s">
        <v>294</v>
      </c>
      <c r="E350" s="1">
        <v>5</v>
      </c>
      <c r="F350" s="1">
        <v>5</v>
      </c>
      <c r="G350" s="1">
        <v>0</v>
      </c>
      <c r="H350" s="1">
        <v>0</v>
      </c>
      <c r="I350" s="1">
        <v>0</v>
      </c>
      <c r="S350" s="1" t="str">
        <f t="shared" si="50"/>
        <v>5-5</v>
      </c>
      <c r="T350" s="1" t="str">
        <f t="shared" si="50"/>
        <v>5-5</v>
      </c>
      <c r="U350" s="1" t="str">
        <f t="shared" si="50"/>
        <v>30-30</v>
      </c>
      <c r="V350" s="1">
        <f t="shared" si="49"/>
        <v>30</v>
      </c>
    </row>
    <row r="351" spans="1:22">
      <c r="A351" s="1" t="s">
        <v>633</v>
      </c>
      <c r="B351" s="1" t="s">
        <v>633</v>
      </c>
      <c r="C351" s="1" t="s">
        <v>39</v>
      </c>
      <c r="D351" s="1" t="s">
        <v>295</v>
      </c>
      <c r="E351" s="1">
        <v>5</v>
      </c>
      <c r="F351" s="1">
        <v>5</v>
      </c>
      <c r="G351" s="1">
        <v>0</v>
      </c>
      <c r="H351" s="1">
        <v>0</v>
      </c>
      <c r="I351" s="1">
        <v>0</v>
      </c>
      <c r="S351" s="1" t="str">
        <f t="shared" si="50"/>
        <v>5-5</v>
      </c>
      <c r="T351" s="1" t="str">
        <f t="shared" si="50"/>
        <v>5-5</v>
      </c>
      <c r="U351" s="1" t="str">
        <f t="shared" si="50"/>
        <v>30-30</v>
      </c>
      <c r="V351" s="1">
        <f t="shared" si="49"/>
        <v>30</v>
      </c>
    </row>
    <row r="352" spans="1:22">
      <c r="A352" s="1" t="s">
        <v>374</v>
      </c>
      <c r="B352" s="1" t="s">
        <v>374</v>
      </c>
      <c r="C352" s="1" t="s">
        <v>39</v>
      </c>
      <c r="D352" s="1" t="s">
        <v>374</v>
      </c>
      <c r="E352" s="1">
        <v>1</v>
      </c>
      <c r="F352" s="1">
        <v>1</v>
      </c>
      <c r="G352" s="1">
        <v>0</v>
      </c>
      <c r="H352" s="1">
        <v>0</v>
      </c>
      <c r="S352" s="1" t="str">
        <f t="shared" ref="S352:U353" si="51">_xlfn.LET(_xlpm.a,($E352+S$3*$G352)*(1+S$2),_xlpm.b,($F352+S$3*$H352)*(1+S$2),_xlpm.a&amp;"-"&amp;_xlpm.b)</f>
        <v>1-1</v>
      </c>
      <c r="T352" s="1" t="str">
        <f t="shared" si="51"/>
        <v>1-1</v>
      </c>
      <c r="U352" s="1" t="str">
        <f t="shared" si="51"/>
        <v>6-6</v>
      </c>
      <c r="V352" s="1">
        <f t="shared" ref="V352" si="52">_xlfn.LET(_xlpm.a,($E352+U$3*$G352)*(1+U$2),_xlpm.b,($F352+U$3*$H352)*(1+U$2),_xlpm.a/2+_xlpm.b/2)</f>
        <v>6</v>
      </c>
    </row>
    <row r="353" spans="1:22">
      <c r="A353" s="1" t="s">
        <v>375</v>
      </c>
      <c r="B353" s="1" t="s">
        <v>375</v>
      </c>
      <c r="C353" s="1" t="s">
        <v>39</v>
      </c>
      <c r="D353" s="1" t="s">
        <v>375</v>
      </c>
      <c r="E353" s="1">
        <v>1</v>
      </c>
      <c r="F353" s="1">
        <v>1</v>
      </c>
      <c r="G353" s="1">
        <v>0</v>
      </c>
      <c r="H353" s="1">
        <v>0</v>
      </c>
      <c r="S353" s="1" t="str">
        <f t="shared" si="51"/>
        <v>1-1</v>
      </c>
      <c r="T353" s="1" t="str">
        <f t="shared" si="51"/>
        <v>1-1</v>
      </c>
      <c r="U353" s="1" t="str">
        <f t="shared" si="51"/>
        <v>6-6</v>
      </c>
      <c r="V353" s="1">
        <f t="shared" ref="V353:V369" si="53">_xlfn.LET(_xlpm.a,($E353+U$3*$G353)*(1+U$2),_xlpm.b,($F353+U$3*$H353)*(1+U$2),_xlpm.a/2+_xlpm.b/2)</f>
        <v>6</v>
      </c>
    </row>
    <row r="354" spans="1:22">
      <c r="A354" s="1" t="s">
        <v>376</v>
      </c>
      <c r="B354" s="1" t="s">
        <v>376</v>
      </c>
      <c r="C354" s="1" t="s">
        <v>39</v>
      </c>
      <c r="D354" s="1" t="s">
        <v>376</v>
      </c>
      <c r="E354" s="1">
        <v>1</v>
      </c>
      <c r="F354" s="1">
        <v>1</v>
      </c>
      <c r="G354" s="1">
        <v>0</v>
      </c>
      <c r="H354" s="1">
        <v>0</v>
      </c>
      <c r="S354" s="1" t="str">
        <f t="shared" ref="S354:U369" si="54">_xlfn.LET(_xlpm.a,($E354+S$3*$G354)*(1+S$2),_xlpm.b,($F354+S$3*$H354)*(1+S$2),_xlpm.a&amp;"-"&amp;_xlpm.b)</f>
        <v>1-1</v>
      </c>
      <c r="T354" s="1" t="str">
        <f t="shared" si="54"/>
        <v>1-1</v>
      </c>
      <c r="U354" s="1" t="str">
        <f t="shared" si="54"/>
        <v>6-6</v>
      </c>
      <c r="V354" s="1">
        <f t="shared" si="53"/>
        <v>6</v>
      </c>
    </row>
    <row r="355" spans="1:22">
      <c r="A355" s="1" t="s">
        <v>377</v>
      </c>
      <c r="B355" s="1" t="s">
        <v>377</v>
      </c>
      <c r="C355" s="1" t="s">
        <v>39</v>
      </c>
      <c r="D355" s="1" t="s">
        <v>377</v>
      </c>
      <c r="E355" s="1">
        <v>1</v>
      </c>
      <c r="F355" s="1">
        <v>1</v>
      </c>
      <c r="G355" s="1">
        <v>0</v>
      </c>
      <c r="H355" s="1">
        <v>0</v>
      </c>
      <c r="S355" s="1" t="str">
        <f t="shared" si="54"/>
        <v>1-1</v>
      </c>
      <c r="T355" s="1" t="str">
        <f t="shared" si="54"/>
        <v>1-1</v>
      </c>
      <c r="U355" s="1" t="str">
        <f t="shared" si="54"/>
        <v>6-6</v>
      </c>
      <c r="V355" s="1">
        <f t="shared" si="53"/>
        <v>6</v>
      </c>
    </row>
    <row r="356" spans="1:22">
      <c r="A356" s="1" t="s">
        <v>378</v>
      </c>
      <c r="B356" s="1" t="s">
        <v>378</v>
      </c>
      <c r="C356" s="1" t="s">
        <v>39</v>
      </c>
      <c r="D356" s="1" t="s">
        <v>378</v>
      </c>
      <c r="E356" s="1">
        <v>1</v>
      </c>
      <c r="F356" s="1">
        <v>1</v>
      </c>
      <c r="G356" s="1">
        <v>0</v>
      </c>
      <c r="H356" s="1">
        <v>0</v>
      </c>
      <c r="S356" s="1" t="str">
        <f t="shared" si="54"/>
        <v>1-1</v>
      </c>
      <c r="T356" s="1" t="str">
        <f t="shared" si="54"/>
        <v>1-1</v>
      </c>
      <c r="U356" s="1" t="str">
        <f t="shared" si="54"/>
        <v>6-6</v>
      </c>
      <c r="V356" s="1">
        <f t="shared" si="53"/>
        <v>6</v>
      </c>
    </row>
    <row r="357" spans="1:22">
      <c r="A357" s="1" t="s">
        <v>379</v>
      </c>
      <c r="B357" s="1" t="s">
        <v>379</v>
      </c>
      <c r="C357" s="1" t="s">
        <v>39</v>
      </c>
      <c r="D357" s="1" t="s">
        <v>379</v>
      </c>
      <c r="E357" s="1">
        <v>1</v>
      </c>
      <c r="F357" s="1">
        <v>1</v>
      </c>
      <c r="G357" s="1">
        <v>0</v>
      </c>
      <c r="H357" s="1">
        <v>0</v>
      </c>
      <c r="S357" s="1" t="str">
        <f t="shared" si="54"/>
        <v>1-1</v>
      </c>
      <c r="T357" s="1" t="str">
        <f t="shared" si="54"/>
        <v>1-1</v>
      </c>
      <c r="U357" s="1" t="str">
        <f t="shared" si="54"/>
        <v>6-6</v>
      </c>
      <c r="V357" s="1">
        <f t="shared" si="53"/>
        <v>6</v>
      </c>
    </row>
    <row r="358" spans="1:22">
      <c r="A358" s="1" t="s">
        <v>380</v>
      </c>
      <c r="B358" s="1" t="s">
        <v>380</v>
      </c>
      <c r="C358" s="1" t="s">
        <v>39</v>
      </c>
      <c r="D358" s="1" t="s">
        <v>380</v>
      </c>
      <c r="E358" s="1">
        <v>1</v>
      </c>
      <c r="F358" s="1">
        <v>1</v>
      </c>
      <c r="G358" s="1">
        <v>0</v>
      </c>
      <c r="H358" s="1">
        <v>0</v>
      </c>
      <c r="S358" s="1" t="str">
        <f t="shared" si="54"/>
        <v>1-1</v>
      </c>
      <c r="T358" s="1" t="str">
        <f t="shared" si="54"/>
        <v>1-1</v>
      </c>
      <c r="U358" s="1" t="str">
        <f t="shared" si="54"/>
        <v>6-6</v>
      </c>
      <c r="V358" s="1">
        <f t="shared" si="53"/>
        <v>6</v>
      </c>
    </row>
    <row r="359" spans="1:22">
      <c r="A359" s="1" t="s">
        <v>381</v>
      </c>
      <c r="B359" s="1" t="s">
        <v>381</v>
      </c>
      <c r="C359" s="1" t="s">
        <v>39</v>
      </c>
      <c r="D359" s="1" t="s">
        <v>381</v>
      </c>
      <c r="E359" s="1">
        <v>1</v>
      </c>
      <c r="F359" s="1">
        <v>1</v>
      </c>
      <c r="G359" s="1">
        <v>0</v>
      </c>
      <c r="H359" s="1">
        <v>0</v>
      </c>
      <c r="S359" s="1" t="str">
        <f t="shared" si="54"/>
        <v>1-1</v>
      </c>
      <c r="T359" s="1" t="str">
        <f t="shared" si="54"/>
        <v>1-1</v>
      </c>
      <c r="U359" s="1" t="str">
        <f t="shared" si="54"/>
        <v>6-6</v>
      </c>
      <c r="V359" s="1">
        <f t="shared" si="53"/>
        <v>6</v>
      </c>
    </row>
    <row r="360" spans="1:22">
      <c r="A360" s="1" t="s">
        <v>382</v>
      </c>
      <c r="B360" s="1" t="s">
        <v>382</v>
      </c>
      <c r="C360" s="1" t="s">
        <v>39</v>
      </c>
      <c r="D360" s="1" t="s">
        <v>382</v>
      </c>
      <c r="E360" s="1">
        <v>1</v>
      </c>
      <c r="F360" s="1">
        <v>1</v>
      </c>
      <c r="G360" s="1">
        <v>0</v>
      </c>
      <c r="H360" s="1">
        <v>0</v>
      </c>
      <c r="S360" s="1" t="str">
        <f t="shared" si="54"/>
        <v>1-1</v>
      </c>
      <c r="T360" s="1" t="str">
        <f t="shared" si="54"/>
        <v>1-1</v>
      </c>
      <c r="U360" s="1" t="str">
        <f t="shared" si="54"/>
        <v>6-6</v>
      </c>
      <c r="V360" s="1">
        <f t="shared" si="53"/>
        <v>6</v>
      </c>
    </row>
    <row r="361" spans="1:22">
      <c r="A361" s="1" t="s">
        <v>383</v>
      </c>
      <c r="B361" s="1" t="s">
        <v>383</v>
      </c>
      <c r="C361" s="1" t="s">
        <v>39</v>
      </c>
      <c r="D361" s="1" t="s">
        <v>383</v>
      </c>
      <c r="E361" s="1">
        <v>1</v>
      </c>
      <c r="F361" s="1">
        <v>1</v>
      </c>
      <c r="G361" s="1">
        <v>0</v>
      </c>
      <c r="H361" s="1">
        <v>0</v>
      </c>
      <c r="S361" s="1" t="str">
        <f t="shared" si="54"/>
        <v>1-1</v>
      </c>
      <c r="T361" s="1" t="str">
        <f t="shared" si="54"/>
        <v>1-1</v>
      </c>
      <c r="U361" s="1" t="str">
        <f t="shared" si="54"/>
        <v>6-6</v>
      </c>
      <c r="V361" s="1">
        <f t="shared" si="53"/>
        <v>6</v>
      </c>
    </row>
    <row r="362" spans="1:22">
      <c r="A362" s="1" t="s">
        <v>384</v>
      </c>
      <c r="B362" s="1" t="s">
        <v>384</v>
      </c>
      <c r="C362" s="1" t="s">
        <v>39</v>
      </c>
      <c r="D362" s="1" t="s">
        <v>384</v>
      </c>
      <c r="E362" s="1">
        <v>1</v>
      </c>
      <c r="F362" s="1">
        <v>1</v>
      </c>
      <c r="G362" s="1">
        <v>0</v>
      </c>
      <c r="H362" s="1">
        <v>0</v>
      </c>
      <c r="S362" s="1" t="str">
        <f t="shared" si="54"/>
        <v>1-1</v>
      </c>
      <c r="T362" s="1" t="str">
        <f t="shared" si="54"/>
        <v>1-1</v>
      </c>
      <c r="U362" s="1" t="str">
        <f t="shared" si="54"/>
        <v>6-6</v>
      </c>
      <c r="V362" s="1">
        <f t="shared" si="53"/>
        <v>6</v>
      </c>
    </row>
    <row r="363" spans="1:22">
      <c r="A363" s="1" t="s">
        <v>385</v>
      </c>
      <c r="B363" s="1" t="s">
        <v>385</v>
      </c>
      <c r="C363" s="1" t="s">
        <v>39</v>
      </c>
      <c r="D363" s="1" t="s">
        <v>385</v>
      </c>
      <c r="E363" s="1">
        <v>1</v>
      </c>
      <c r="F363" s="1">
        <v>1</v>
      </c>
      <c r="G363" s="1">
        <v>0</v>
      </c>
      <c r="H363" s="1">
        <v>0</v>
      </c>
      <c r="S363" s="1" t="str">
        <f t="shared" si="54"/>
        <v>1-1</v>
      </c>
      <c r="T363" s="1" t="str">
        <f t="shared" si="54"/>
        <v>1-1</v>
      </c>
      <c r="U363" s="1" t="str">
        <f t="shared" si="54"/>
        <v>6-6</v>
      </c>
      <c r="V363" s="1">
        <f t="shared" si="53"/>
        <v>6</v>
      </c>
    </row>
    <row r="364" spans="1:22">
      <c r="A364" s="1" t="s">
        <v>386</v>
      </c>
      <c r="B364" s="1" t="s">
        <v>386</v>
      </c>
      <c r="C364" s="1" t="s">
        <v>39</v>
      </c>
      <c r="D364" s="1" t="s">
        <v>386</v>
      </c>
      <c r="E364" s="1">
        <v>1</v>
      </c>
      <c r="F364" s="1">
        <v>1</v>
      </c>
      <c r="G364" s="1">
        <v>0</v>
      </c>
      <c r="H364" s="1">
        <v>0</v>
      </c>
      <c r="S364" s="1" t="str">
        <f t="shared" si="54"/>
        <v>1-1</v>
      </c>
      <c r="T364" s="1" t="str">
        <f t="shared" si="54"/>
        <v>1-1</v>
      </c>
      <c r="U364" s="1" t="str">
        <f t="shared" si="54"/>
        <v>6-6</v>
      </c>
      <c r="V364" s="1">
        <f t="shared" si="53"/>
        <v>6</v>
      </c>
    </row>
    <row r="365" spans="1:22">
      <c r="A365" s="1" t="s">
        <v>387</v>
      </c>
      <c r="B365" s="1" t="s">
        <v>387</v>
      </c>
      <c r="C365" s="1" t="s">
        <v>39</v>
      </c>
      <c r="D365" s="1" t="s">
        <v>387</v>
      </c>
      <c r="E365" s="1">
        <v>1</v>
      </c>
      <c r="F365" s="1">
        <v>1</v>
      </c>
      <c r="G365" s="1">
        <v>0</v>
      </c>
      <c r="H365" s="1">
        <v>0</v>
      </c>
      <c r="S365" s="1" t="str">
        <f t="shared" si="54"/>
        <v>1-1</v>
      </c>
      <c r="T365" s="1" t="str">
        <f t="shared" si="54"/>
        <v>1-1</v>
      </c>
      <c r="U365" s="1" t="str">
        <f t="shared" si="54"/>
        <v>6-6</v>
      </c>
      <c r="V365" s="1">
        <f t="shared" si="53"/>
        <v>6</v>
      </c>
    </row>
    <row r="366" spans="1:22">
      <c r="A366" s="1" t="s">
        <v>388</v>
      </c>
      <c r="B366" s="1" t="s">
        <v>388</v>
      </c>
      <c r="C366" s="1" t="s">
        <v>39</v>
      </c>
      <c r="D366" s="1" t="s">
        <v>388</v>
      </c>
      <c r="E366" s="1">
        <v>1</v>
      </c>
      <c r="F366" s="1">
        <v>1</v>
      </c>
      <c r="G366" s="1">
        <v>0</v>
      </c>
      <c r="H366" s="1">
        <v>0</v>
      </c>
      <c r="S366" s="1" t="str">
        <f t="shared" si="54"/>
        <v>1-1</v>
      </c>
      <c r="T366" s="1" t="str">
        <f t="shared" si="54"/>
        <v>1-1</v>
      </c>
      <c r="U366" s="1" t="str">
        <f t="shared" si="54"/>
        <v>6-6</v>
      </c>
      <c r="V366" s="1">
        <f t="shared" si="53"/>
        <v>6</v>
      </c>
    </row>
    <row r="367" spans="1:22">
      <c r="A367" s="1" t="s">
        <v>389</v>
      </c>
      <c r="B367" s="1" t="s">
        <v>389</v>
      </c>
      <c r="C367" s="1" t="s">
        <v>39</v>
      </c>
      <c r="D367" s="1" t="s">
        <v>389</v>
      </c>
      <c r="E367" s="1">
        <v>1</v>
      </c>
      <c r="F367" s="1">
        <v>1</v>
      </c>
      <c r="G367" s="1">
        <v>0</v>
      </c>
      <c r="H367" s="1">
        <v>0</v>
      </c>
      <c r="S367" s="1" t="str">
        <f t="shared" si="54"/>
        <v>1-1</v>
      </c>
      <c r="T367" s="1" t="str">
        <f t="shared" si="54"/>
        <v>1-1</v>
      </c>
      <c r="U367" s="1" t="str">
        <f t="shared" si="54"/>
        <v>6-6</v>
      </c>
      <c r="V367" s="1">
        <f t="shared" si="53"/>
        <v>6</v>
      </c>
    </row>
    <row r="368" spans="1:22">
      <c r="A368" s="1" t="s">
        <v>390</v>
      </c>
      <c r="B368" s="1" t="s">
        <v>390</v>
      </c>
      <c r="C368" s="1" t="s">
        <v>39</v>
      </c>
      <c r="D368" s="1" t="s">
        <v>390</v>
      </c>
      <c r="E368" s="1">
        <v>1</v>
      </c>
      <c r="F368" s="1">
        <v>1</v>
      </c>
      <c r="G368" s="1">
        <v>0</v>
      </c>
      <c r="H368" s="1">
        <v>0</v>
      </c>
      <c r="S368" s="1" t="str">
        <f t="shared" si="54"/>
        <v>1-1</v>
      </c>
      <c r="T368" s="1" t="str">
        <f t="shared" si="54"/>
        <v>1-1</v>
      </c>
      <c r="U368" s="1" t="str">
        <f t="shared" si="54"/>
        <v>6-6</v>
      </c>
      <c r="V368" s="1">
        <f t="shared" si="53"/>
        <v>6</v>
      </c>
    </row>
    <row r="369" spans="1:22">
      <c r="A369" s="1" t="s">
        <v>391</v>
      </c>
      <c r="B369" s="1" t="s">
        <v>391</v>
      </c>
      <c r="C369" s="1" t="s">
        <v>39</v>
      </c>
      <c r="D369" s="1" t="s">
        <v>391</v>
      </c>
      <c r="E369" s="1">
        <v>1</v>
      </c>
      <c r="F369" s="1">
        <v>1</v>
      </c>
      <c r="G369" s="1">
        <v>0</v>
      </c>
      <c r="H369" s="1">
        <v>0</v>
      </c>
      <c r="S369" s="1" t="str">
        <f t="shared" si="54"/>
        <v>1-1</v>
      </c>
      <c r="T369" s="1" t="str">
        <f t="shared" si="54"/>
        <v>1-1</v>
      </c>
      <c r="U369" s="1" t="str">
        <f t="shared" si="54"/>
        <v>6-6</v>
      </c>
      <c r="V369" s="1">
        <f t="shared" si="53"/>
        <v>6</v>
      </c>
    </row>
  </sheetData>
  <autoFilter ref="A4:V369" xr:uid="{00000000-0001-0000-0000-000000000000}"/>
  <phoneticPr fontId="1" type="noConversion"/>
  <conditionalFormatting sqref="A1:A1048576">
    <cfRule type="duplicateValues" dxfId="2" priority="27"/>
  </conditionalFormatting>
  <conditionalFormatting sqref="B170">
    <cfRule type="duplicateValues" dxfId="1" priority="2"/>
  </conditionalFormatting>
  <conditionalFormatting sqref="B174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SUN</dc:creator>
  <cp:lastModifiedBy>SHILONG SUN</cp:lastModifiedBy>
  <dcterms:created xsi:type="dcterms:W3CDTF">2015-06-05T18:19:34Z</dcterms:created>
  <dcterms:modified xsi:type="dcterms:W3CDTF">2025-06-14T15:57:54Z</dcterms:modified>
</cp:coreProperties>
</file>
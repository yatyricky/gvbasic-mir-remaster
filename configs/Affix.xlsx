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62367192-6F74-4AE5-9042-C36AD1BD925A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Sheet1" sheetId="1" r:id="rId1"/>
  </sheets>
  <definedNames>
    <definedName name="_xlnm._FilterDatabase" localSheetId="0" hidden="1">Sheet1!$A$4:$T$359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38" i="1" l="1"/>
  <c r="S138" i="1"/>
  <c r="R138" i="1"/>
  <c r="Q138" i="1"/>
  <c r="T132" i="1"/>
  <c r="S132" i="1"/>
  <c r="R132" i="1"/>
  <c r="Q132" i="1"/>
  <c r="T126" i="1"/>
  <c r="S126" i="1"/>
  <c r="R126" i="1"/>
  <c r="Q126" i="1"/>
  <c r="T117" i="1"/>
  <c r="S117" i="1"/>
  <c r="R117" i="1"/>
  <c r="Q117" i="1"/>
  <c r="T111" i="1"/>
  <c r="S111" i="1"/>
  <c r="R111" i="1"/>
  <c r="Q111" i="1"/>
  <c r="T105" i="1"/>
  <c r="S105" i="1"/>
  <c r="R105" i="1"/>
  <c r="Q105" i="1"/>
  <c r="T96" i="1"/>
  <c r="S96" i="1"/>
  <c r="R96" i="1"/>
  <c r="Q96" i="1"/>
  <c r="T90" i="1"/>
  <c r="S90" i="1"/>
  <c r="R90" i="1"/>
  <c r="Q90" i="1"/>
  <c r="T84" i="1"/>
  <c r="S84" i="1"/>
  <c r="R84" i="1"/>
  <c r="Q84" i="1"/>
  <c r="T278" i="1"/>
  <c r="S278" i="1"/>
  <c r="R278" i="1"/>
  <c r="Q278" i="1"/>
  <c r="T277" i="1"/>
  <c r="S277" i="1"/>
  <c r="R277" i="1"/>
  <c r="Q277" i="1"/>
  <c r="T276" i="1"/>
  <c r="S276" i="1"/>
  <c r="R276" i="1"/>
  <c r="Q276" i="1"/>
  <c r="T275" i="1"/>
  <c r="S275" i="1"/>
  <c r="R275" i="1"/>
  <c r="Q275" i="1"/>
  <c r="T274" i="1"/>
  <c r="S274" i="1"/>
  <c r="R274" i="1"/>
  <c r="Q274" i="1"/>
  <c r="T273" i="1"/>
  <c r="S273" i="1"/>
  <c r="R273" i="1"/>
  <c r="Q273" i="1"/>
  <c r="T272" i="1"/>
  <c r="S272" i="1"/>
  <c r="R272" i="1"/>
  <c r="Q272" i="1"/>
  <c r="T271" i="1"/>
  <c r="S271" i="1"/>
  <c r="R271" i="1"/>
  <c r="Q271" i="1"/>
  <c r="T270" i="1"/>
  <c r="S270" i="1"/>
  <c r="R270" i="1"/>
  <c r="Q270" i="1"/>
  <c r="T269" i="1"/>
  <c r="S269" i="1"/>
  <c r="R269" i="1"/>
  <c r="Q269" i="1"/>
  <c r="T268" i="1"/>
  <c r="S268" i="1"/>
  <c r="R268" i="1"/>
  <c r="Q268" i="1"/>
  <c r="T267" i="1"/>
  <c r="S267" i="1"/>
  <c r="R267" i="1"/>
  <c r="Q267" i="1"/>
  <c r="T266" i="1"/>
  <c r="S266" i="1"/>
  <c r="R266" i="1"/>
  <c r="Q266" i="1"/>
  <c r="T265" i="1"/>
  <c r="S265" i="1"/>
  <c r="R265" i="1"/>
  <c r="Q265" i="1"/>
  <c r="T264" i="1"/>
  <c r="S264" i="1"/>
  <c r="R264" i="1"/>
  <c r="Q264" i="1"/>
  <c r="T263" i="1"/>
  <c r="S263" i="1"/>
  <c r="R263" i="1"/>
  <c r="Q263" i="1"/>
  <c r="T262" i="1"/>
  <c r="S262" i="1"/>
  <c r="R262" i="1"/>
  <c r="Q262" i="1"/>
  <c r="T261" i="1"/>
  <c r="S261" i="1"/>
  <c r="R261" i="1"/>
  <c r="Q261" i="1"/>
  <c r="T260" i="1"/>
  <c r="S260" i="1"/>
  <c r="R260" i="1"/>
  <c r="Q260" i="1"/>
  <c r="T259" i="1"/>
  <c r="S259" i="1"/>
  <c r="R259" i="1"/>
  <c r="Q259" i="1"/>
  <c r="T258" i="1"/>
  <c r="S258" i="1"/>
  <c r="R258" i="1"/>
  <c r="Q258" i="1"/>
  <c r="T257" i="1"/>
  <c r="S257" i="1"/>
  <c r="R257" i="1"/>
  <c r="Q257" i="1"/>
  <c r="T256" i="1"/>
  <c r="S256" i="1"/>
  <c r="R256" i="1"/>
  <c r="Q256" i="1"/>
  <c r="T255" i="1"/>
  <c r="S255" i="1"/>
  <c r="R255" i="1"/>
  <c r="Q255" i="1"/>
  <c r="T254" i="1"/>
  <c r="S254" i="1"/>
  <c r="R254" i="1"/>
  <c r="Q254" i="1"/>
  <c r="T253" i="1"/>
  <c r="S253" i="1"/>
  <c r="R253" i="1"/>
  <c r="Q253" i="1"/>
  <c r="T252" i="1"/>
  <c r="S252" i="1"/>
  <c r="R252" i="1"/>
  <c r="Q252" i="1"/>
  <c r="T251" i="1"/>
  <c r="S251" i="1"/>
  <c r="R251" i="1"/>
  <c r="Q251" i="1"/>
  <c r="T250" i="1"/>
  <c r="S250" i="1"/>
  <c r="R250" i="1"/>
  <c r="Q250" i="1"/>
  <c r="T249" i="1"/>
  <c r="S249" i="1"/>
  <c r="R249" i="1"/>
  <c r="Q249" i="1"/>
  <c r="T248" i="1"/>
  <c r="S248" i="1"/>
  <c r="R248" i="1"/>
  <c r="Q248" i="1"/>
  <c r="T247" i="1"/>
  <c r="S247" i="1"/>
  <c r="R247" i="1"/>
  <c r="Q247" i="1"/>
  <c r="T246" i="1"/>
  <c r="S246" i="1"/>
  <c r="R246" i="1"/>
  <c r="Q246" i="1"/>
  <c r="T245" i="1"/>
  <c r="S245" i="1"/>
  <c r="R245" i="1"/>
  <c r="Q245" i="1"/>
  <c r="T244" i="1"/>
  <c r="S244" i="1"/>
  <c r="R244" i="1"/>
  <c r="Q244" i="1"/>
  <c r="T243" i="1"/>
  <c r="S243" i="1"/>
  <c r="R243" i="1"/>
  <c r="Q243" i="1"/>
  <c r="T242" i="1"/>
  <c r="S242" i="1"/>
  <c r="R242" i="1"/>
  <c r="Q242" i="1"/>
  <c r="T241" i="1"/>
  <c r="S241" i="1"/>
  <c r="R241" i="1"/>
  <c r="Q241" i="1"/>
  <c r="T240" i="1"/>
  <c r="S240" i="1"/>
  <c r="R240" i="1"/>
  <c r="Q240" i="1"/>
  <c r="T239" i="1"/>
  <c r="S239" i="1"/>
  <c r="R239" i="1"/>
  <c r="Q239" i="1"/>
  <c r="T238" i="1"/>
  <c r="S238" i="1"/>
  <c r="R238" i="1"/>
  <c r="Q238" i="1"/>
  <c r="T237" i="1"/>
  <c r="S237" i="1"/>
  <c r="R237" i="1"/>
  <c r="Q237" i="1"/>
  <c r="T236" i="1"/>
  <c r="S236" i="1"/>
  <c r="R236" i="1"/>
  <c r="Q236" i="1"/>
  <c r="T235" i="1"/>
  <c r="S235" i="1"/>
  <c r="R235" i="1"/>
  <c r="Q235" i="1"/>
  <c r="T234" i="1"/>
  <c r="S234" i="1"/>
  <c r="R234" i="1"/>
  <c r="Q234" i="1"/>
  <c r="T233" i="1"/>
  <c r="S233" i="1"/>
  <c r="R233" i="1"/>
  <c r="Q233" i="1"/>
  <c r="T232" i="1"/>
  <c r="S232" i="1"/>
  <c r="R232" i="1"/>
  <c r="Q232" i="1"/>
  <c r="T231" i="1"/>
  <c r="S231" i="1"/>
  <c r="R231" i="1"/>
  <c r="Q231" i="1"/>
  <c r="T230" i="1"/>
  <c r="S230" i="1"/>
  <c r="R230" i="1"/>
  <c r="Q230" i="1"/>
  <c r="T229" i="1"/>
  <c r="S229" i="1"/>
  <c r="R229" i="1"/>
  <c r="Q229" i="1"/>
  <c r="T228" i="1"/>
  <c r="S228" i="1"/>
  <c r="R228" i="1"/>
  <c r="Q228" i="1"/>
  <c r="T227" i="1"/>
  <c r="S227" i="1"/>
  <c r="R227" i="1"/>
  <c r="Q227" i="1"/>
  <c r="T226" i="1"/>
  <c r="S226" i="1"/>
  <c r="R226" i="1"/>
  <c r="Q226" i="1"/>
  <c r="T225" i="1"/>
  <c r="S225" i="1"/>
  <c r="R225" i="1"/>
  <c r="Q225" i="1"/>
  <c r="T224" i="1"/>
  <c r="S224" i="1"/>
  <c r="R224" i="1"/>
  <c r="Q224" i="1"/>
  <c r="T223" i="1"/>
  <c r="S223" i="1"/>
  <c r="R223" i="1"/>
  <c r="Q223" i="1"/>
  <c r="T222" i="1"/>
  <c r="S222" i="1"/>
  <c r="R222" i="1"/>
  <c r="Q222" i="1"/>
  <c r="T221" i="1"/>
  <c r="S221" i="1"/>
  <c r="R221" i="1"/>
  <c r="Q221" i="1"/>
  <c r="T220" i="1"/>
  <c r="S220" i="1"/>
  <c r="R220" i="1"/>
  <c r="Q220" i="1"/>
  <c r="T219" i="1"/>
  <c r="S219" i="1"/>
  <c r="R219" i="1"/>
  <c r="Q219" i="1"/>
  <c r="T218" i="1"/>
  <c r="S218" i="1"/>
  <c r="R218" i="1"/>
  <c r="Q218" i="1"/>
  <c r="T217" i="1"/>
  <c r="S217" i="1"/>
  <c r="R217" i="1"/>
  <c r="Q217" i="1"/>
  <c r="T216" i="1"/>
  <c r="S216" i="1"/>
  <c r="R216" i="1"/>
  <c r="Q216" i="1"/>
  <c r="T215" i="1"/>
  <c r="S215" i="1"/>
  <c r="R215" i="1"/>
  <c r="Q215" i="1"/>
  <c r="T214" i="1"/>
  <c r="S214" i="1"/>
  <c r="R214" i="1"/>
  <c r="Q214" i="1"/>
  <c r="T213" i="1"/>
  <c r="S213" i="1"/>
  <c r="R213" i="1"/>
  <c r="Q213" i="1"/>
  <c r="T212" i="1"/>
  <c r="S212" i="1"/>
  <c r="R212" i="1"/>
  <c r="Q212" i="1"/>
  <c r="T211" i="1"/>
  <c r="S211" i="1"/>
  <c r="R211" i="1"/>
  <c r="Q211" i="1"/>
  <c r="T210" i="1"/>
  <c r="S210" i="1"/>
  <c r="R210" i="1"/>
  <c r="Q210" i="1"/>
  <c r="T209" i="1"/>
  <c r="S209" i="1"/>
  <c r="R209" i="1"/>
  <c r="Q209" i="1"/>
  <c r="T208" i="1"/>
  <c r="S208" i="1"/>
  <c r="R208" i="1"/>
  <c r="Q208" i="1"/>
  <c r="T207" i="1"/>
  <c r="S207" i="1"/>
  <c r="R207" i="1"/>
  <c r="Q207" i="1"/>
  <c r="T123" i="1"/>
  <c r="S123" i="1"/>
  <c r="R123" i="1"/>
  <c r="Q123" i="1"/>
  <c r="T122" i="1"/>
  <c r="S122" i="1"/>
  <c r="R122" i="1"/>
  <c r="Q122" i="1"/>
  <c r="T121" i="1"/>
  <c r="S121" i="1"/>
  <c r="R121" i="1"/>
  <c r="Q121" i="1"/>
  <c r="T120" i="1"/>
  <c r="S120" i="1"/>
  <c r="R120" i="1"/>
  <c r="Q120" i="1"/>
  <c r="T119" i="1"/>
  <c r="S119" i="1"/>
  <c r="R119" i="1"/>
  <c r="Q119" i="1"/>
  <c r="T118" i="1"/>
  <c r="S118" i="1"/>
  <c r="R118" i="1"/>
  <c r="Q118" i="1"/>
  <c r="T116" i="1"/>
  <c r="S116" i="1"/>
  <c r="R116" i="1"/>
  <c r="Q116" i="1"/>
  <c r="T115" i="1"/>
  <c r="S115" i="1"/>
  <c r="R115" i="1"/>
  <c r="Q115" i="1"/>
  <c r="T114" i="1"/>
  <c r="S114" i="1"/>
  <c r="R114" i="1"/>
  <c r="Q114" i="1"/>
  <c r="T113" i="1"/>
  <c r="S113" i="1"/>
  <c r="R113" i="1"/>
  <c r="Q113" i="1"/>
  <c r="T112" i="1"/>
  <c r="S112" i="1"/>
  <c r="R112" i="1"/>
  <c r="Q112" i="1"/>
  <c r="T110" i="1"/>
  <c r="S110" i="1"/>
  <c r="R110" i="1"/>
  <c r="Q110" i="1"/>
  <c r="T109" i="1"/>
  <c r="S109" i="1"/>
  <c r="R109" i="1"/>
  <c r="Q109" i="1"/>
  <c r="T108" i="1"/>
  <c r="S108" i="1"/>
  <c r="R108" i="1"/>
  <c r="Q108" i="1"/>
  <c r="T107" i="1"/>
  <c r="S107" i="1"/>
  <c r="R107" i="1"/>
  <c r="Q107" i="1"/>
  <c r="T106" i="1"/>
  <c r="S106" i="1"/>
  <c r="R106" i="1"/>
  <c r="Q106" i="1"/>
  <c r="T104" i="1"/>
  <c r="S104" i="1"/>
  <c r="R104" i="1"/>
  <c r="Q104" i="1"/>
  <c r="T103" i="1"/>
  <c r="S103" i="1"/>
  <c r="R103" i="1"/>
  <c r="Q103" i="1"/>
  <c r="T102" i="1"/>
  <c r="S102" i="1"/>
  <c r="R102" i="1"/>
  <c r="Q102" i="1"/>
  <c r="T101" i="1"/>
  <c r="S101" i="1"/>
  <c r="R101" i="1"/>
  <c r="Q101" i="1"/>
  <c r="T100" i="1"/>
  <c r="S100" i="1"/>
  <c r="R100" i="1"/>
  <c r="Q100" i="1"/>
  <c r="T99" i="1"/>
  <c r="S99" i="1"/>
  <c r="R99" i="1"/>
  <c r="Q99" i="1"/>
  <c r="T98" i="1"/>
  <c r="S98" i="1"/>
  <c r="R98" i="1"/>
  <c r="Q98" i="1"/>
  <c r="T97" i="1"/>
  <c r="S97" i="1"/>
  <c r="R97" i="1"/>
  <c r="Q97" i="1"/>
  <c r="T95" i="1"/>
  <c r="S95" i="1"/>
  <c r="R95" i="1"/>
  <c r="Q95" i="1"/>
  <c r="T94" i="1"/>
  <c r="S94" i="1"/>
  <c r="R94" i="1"/>
  <c r="Q94" i="1"/>
  <c r="T93" i="1"/>
  <c r="S93" i="1"/>
  <c r="R93" i="1"/>
  <c r="Q93" i="1"/>
  <c r="T92" i="1"/>
  <c r="S92" i="1"/>
  <c r="R92" i="1"/>
  <c r="Q92" i="1"/>
  <c r="T91" i="1"/>
  <c r="S91" i="1"/>
  <c r="R91" i="1"/>
  <c r="Q91" i="1"/>
  <c r="T89" i="1"/>
  <c r="S89" i="1"/>
  <c r="R89" i="1"/>
  <c r="Q89" i="1"/>
  <c r="T88" i="1"/>
  <c r="S88" i="1"/>
  <c r="R88" i="1"/>
  <c r="Q88" i="1"/>
  <c r="T87" i="1"/>
  <c r="S87" i="1"/>
  <c r="R87" i="1"/>
  <c r="Q87" i="1"/>
  <c r="T86" i="1"/>
  <c r="S86" i="1"/>
  <c r="R86" i="1"/>
  <c r="Q86" i="1"/>
  <c r="T85" i="1"/>
  <c r="S85" i="1"/>
  <c r="R85" i="1"/>
  <c r="Q85" i="1"/>
  <c r="T83" i="1"/>
  <c r="S83" i="1"/>
  <c r="R83" i="1"/>
  <c r="Q83" i="1"/>
  <c r="T82" i="1"/>
  <c r="S82" i="1"/>
  <c r="R82" i="1"/>
  <c r="Q82" i="1"/>
  <c r="Q301" i="1"/>
  <c r="R301" i="1"/>
  <c r="S301" i="1"/>
  <c r="T301" i="1"/>
  <c r="Q302" i="1"/>
  <c r="R302" i="1"/>
  <c r="S302" i="1"/>
  <c r="T302" i="1"/>
  <c r="Q303" i="1"/>
  <c r="R303" i="1"/>
  <c r="S303" i="1"/>
  <c r="T303" i="1"/>
  <c r="Q304" i="1"/>
  <c r="R304" i="1"/>
  <c r="S304" i="1"/>
  <c r="T304" i="1"/>
  <c r="Q305" i="1"/>
  <c r="R305" i="1"/>
  <c r="S305" i="1"/>
  <c r="T305" i="1"/>
  <c r="Q65" i="1"/>
  <c r="R65" i="1"/>
  <c r="S65" i="1"/>
  <c r="T65" i="1"/>
  <c r="Q66" i="1"/>
  <c r="R66" i="1"/>
  <c r="S66" i="1"/>
  <c r="T66" i="1"/>
  <c r="Q67" i="1"/>
  <c r="R67" i="1"/>
  <c r="S67" i="1"/>
  <c r="T67" i="1"/>
  <c r="Q68" i="1"/>
  <c r="R68" i="1"/>
  <c r="S68" i="1"/>
  <c r="T68" i="1"/>
  <c r="Q69" i="1"/>
  <c r="R69" i="1"/>
  <c r="S69" i="1"/>
  <c r="T69" i="1"/>
  <c r="Q47" i="1"/>
  <c r="R47" i="1"/>
  <c r="S47" i="1"/>
  <c r="T47" i="1"/>
  <c r="Q48" i="1"/>
  <c r="R48" i="1"/>
  <c r="S48" i="1"/>
  <c r="T48" i="1"/>
  <c r="Q49" i="1"/>
  <c r="R49" i="1"/>
  <c r="S49" i="1"/>
  <c r="T49" i="1"/>
  <c r="Q50" i="1"/>
  <c r="R50" i="1"/>
  <c r="S50" i="1"/>
  <c r="T50" i="1"/>
  <c r="Q51" i="1"/>
  <c r="R51" i="1"/>
  <c r="S51" i="1"/>
  <c r="T51" i="1"/>
  <c r="Q12" i="1"/>
  <c r="R12" i="1"/>
  <c r="S12" i="1"/>
  <c r="T12" i="1"/>
  <c r="Q13" i="1"/>
  <c r="R13" i="1"/>
  <c r="S13" i="1"/>
  <c r="T13" i="1"/>
  <c r="Q14" i="1"/>
  <c r="R14" i="1"/>
  <c r="S14" i="1"/>
  <c r="T14" i="1"/>
  <c r="Q15" i="1"/>
  <c r="R15" i="1"/>
  <c r="S15" i="1"/>
  <c r="T15" i="1"/>
  <c r="Q16" i="1"/>
  <c r="R16" i="1"/>
  <c r="S16" i="1"/>
  <c r="T16" i="1"/>
  <c r="T26" i="1" l="1"/>
  <c r="S26" i="1"/>
  <c r="R26" i="1"/>
  <c r="Q26" i="1"/>
  <c r="T25" i="1"/>
  <c r="S25" i="1"/>
  <c r="R25" i="1"/>
  <c r="Q25" i="1"/>
  <c r="T24" i="1"/>
  <c r="S24" i="1"/>
  <c r="R24" i="1"/>
  <c r="Q24" i="1"/>
  <c r="T23" i="1"/>
  <c r="S23" i="1"/>
  <c r="R23" i="1"/>
  <c r="Q23" i="1"/>
  <c r="T22" i="1"/>
  <c r="S22" i="1"/>
  <c r="R22" i="1"/>
  <c r="Q22" i="1"/>
  <c r="T21" i="1"/>
  <c r="S21" i="1"/>
  <c r="R21" i="1"/>
  <c r="Q21" i="1"/>
  <c r="T20" i="1"/>
  <c r="S20" i="1"/>
  <c r="R20" i="1"/>
  <c r="Q20" i="1"/>
  <c r="T19" i="1"/>
  <c r="S19" i="1"/>
  <c r="R19" i="1"/>
  <c r="Q19" i="1"/>
  <c r="T18" i="1"/>
  <c r="S18" i="1"/>
  <c r="R18" i="1"/>
  <c r="Q18" i="1"/>
  <c r="T17" i="1"/>
  <c r="S17" i="1"/>
  <c r="R17" i="1"/>
  <c r="Q17" i="1"/>
  <c r="Q32" i="1"/>
  <c r="R32" i="1"/>
  <c r="S32" i="1"/>
  <c r="T32" i="1"/>
  <c r="Q168" i="1"/>
  <c r="R168" i="1"/>
  <c r="S168" i="1"/>
  <c r="T168" i="1"/>
  <c r="Q290" i="1"/>
  <c r="R290" i="1"/>
  <c r="S290" i="1"/>
  <c r="T290" i="1"/>
  <c r="Q289" i="1"/>
  <c r="R289" i="1"/>
  <c r="S289" i="1"/>
  <c r="T289" i="1"/>
  <c r="Q288" i="1"/>
  <c r="R288" i="1"/>
  <c r="S288" i="1"/>
  <c r="T288" i="1"/>
  <c r="T287" i="1"/>
  <c r="S287" i="1"/>
  <c r="R287" i="1"/>
  <c r="Q287" i="1"/>
  <c r="T140" i="1"/>
  <c r="S140" i="1"/>
  <c r="R140" i="1"/>
  <c r="Q140" i="1"/>
  <c r="T139" i="1"/>
  <c r="S139" i="1"/>
  <c r="R139" i="1"/>
  <c r="Q139" i="1"/>
  <c r="T134" i="1"/>
  <c r="S134" i="1"/>
  <c r="R134" i="1"/>
  <c r="Q134" i="1"/>
  <c r="T133" i="1"/>
  <c r="S133" i="1"/>
  <c r="R133" i="1"/>
  <c r="Q133" i="1"/>
  <c r="T128" i="1"/>
  <c r="S128" i="1"/>
  <c r="R128" i="1"/>
  <c r="Q128" i="1"/>
  <c r="T127" i="1"/>
  <c r="S127" i="1"/>
  <c r="R127" i="1"/>
  <c r="Q127" i="1"/>
  <c r="Q146" i="1"/>
  <c r="R146" i="1"/>
  <c r="S146" i="1"/>
  <c r="T146" i="1"/>
  <c r="Q343" i="1"/>
  <c r="R343" i="1"/>
  <c r="S343" i="1"/>
  <c r="T343" i="1"/>
  <c r="Q344" i="1"/>
  <c r="R344" i="1"/>
  <c r="S344" i="1"/>
  <c r="T344" i="1"/>
  <c r="Q345" i="1"/>
  <c r="R345" i="1"/>
  <c r="S345" i="1"/>
  <c r="T345" i="1"/>
  <c r="Q346" i="1"/>
  <c r="R346" i="1"/>
  <c r="S346" i="1"/>
  <c r="T346" i="1"/>
  <c r="Q347" i="1"/>
  <c r="R347" i="1"/>
  <c r="S347" i="1"/>
  <c r="T347" i="1"/>
  <c r="Q348" i="1"/>
  <c r="R348" i="1"/>
  <c r="S348" i="1"/>
  <c r="T348" i="1"/>
  <c r="Q349" i="1"/>
  <c r="R349" i="1"/>
  <c r="S349" i="1"/>
  <c r="T349" i="1"/>
  <c r="Q350" i="1"/>
  <c r="R350" i="1"/>
  <c r="S350" i="1"/>
  <c r="T350" i="1"/>
  <c r="Q351" i="1"/>
  <c r="R351" i="1"/>
  <c r="S351" i="1"/>
  <c r="T351" i="1"/>
  <c r="Q352" i="1"/>
  <c r="R352" i="1"/>
  <c r="S352" i="1"/>
  <c r="T352" i="1"/>
  <c r="Q353" i="1"/>
  <c r="R353" i="1"/>
  <c r="S353" i="1"/>
  <c r="T353" i="1"/>
  <c r="Q354" i="1"/>
  <c r="R354" i="1"/>
  <c r="S354" i="1"/>
  <c r="T354" i="1"/>
  <c r="Q355" i="1"/>
  <c r="R355" i="1"/>
  <c r="S355" i="1"/>
  <c r="T355" i="1"/>
  <c r="Q356" i="1"/>
  <c r="R356" i="1"/>
  <c r="S356" i="1"/>
  <c r="T356" i="1"/>
  <c r="Q357" i="1"/>
  <c r="R357" i="1"/>
  <c r="S357" i="1"/>
  <c r="T357" i="1"/>
  <c r="Q358" i="1"/>
  <c r="R358" i="1"/>
  <c r="S358" i="1"/>
  <c r="T358" i="1"/>
  <c r="Q359" i="1"/>
  <c r="R359" i="1"/>
  <c r="S359" i="1"/>
  <c r="T359" i="1"/>
  <c r="Q342" i="1"/>
  <c r="R342" i="1"/>
  <c r="S342" i="1"/>
  <c r="T342" i="1"/>
  <c r="T341" i="1"/>
  <c r="S341" i="1"/>
  <c r="R341" i="1"/>
  <c r="Q341" i="1"/>
  <c r="T340" i="1"/>
  <c r="S340" i="1"/>
  <c r="R340" i="1"/>
  <c r="Q340" i="1"/>
  <c r="T339" i="1"/>
  <c r="S339" i="1"/>
  <c r="R339" i="1"/>
  <c r="Q339" i="1"/>
  <c r="T338" i="1"/>
  <c r="S338" i="1"/>
  <c r="R338" i="1"/>
  <c r="Q338" i="1"/>
  <c r="T337" i="1"/>
  <c r="S337" i="1"/>
  <c r="R337" i="1"/>
  <c r="Q337" i="1"/>
  <c r="T336" i="1"/>
  <c r="S336" i="1"/>
  <c r="R336" i="1"/>
  <c r="Q336" i="1"/>
  <c r="T335" i="1"/>
  <c r="S335" i="1"/>
  <c r="R335" i="1"/>
  <c r="Q335" i="1"/>
  <c r="T334" i="1"/>
  <c r="S334" i="1"/>
  <c r="R334" i="1"/>
  <c r="Q334" i="1"/>
  <c r="T333" i="1"/>
  <c r="S333" i="1"/>
  <c r="R333" i="1"/>
  <c r="Q333" i="1"/>
  <c r="T332" i="1"/>
  <c r="S332" i="1"/>
  <c r="R332" i="1"/>
  <c r="Q332" i="1"/>
  <c r="T331" i="1"/>
  <c r="S331" i="1"/>
  <c r="R331" i="1"/>
  <c r="Q331" i="1"/>
  <c r="T330" i="1"/>
  <c r="S330" i="1"/>
  <c r="R330" i="1"/>
  <c r="Q330" i="1"/>
  <c r="T329" i="1"/>
  <c r="S329" i="1"/>
  <c r="R329" i="1"/>
  <c r="Q329" i="1"/>
  <c r="T328" i="1"/>
  <c r="S328" i="1"/>
  <c r="R328" i="1"/>
  <c r="Q328" i="1"/>
  <c r="T327" i="1"/>
  <c r="S327" i="1"/>
  <c r="R327" i="1"/>
  <c r="Q327" i="1"/>
  <c r="T326" i="1"/>
  <c r="S326" i="1"/>
  <c r="R326" i="1"/>
  <c r="Q326" i="1"/>
  <c r="T325" i="1"/>
  <c r="S325" i="1"/>
  <c r="R325" i="1"/>
  <c r="Q325" i="1"/>
  <c r="T324" i="1"/>
  <c r="S324" i="1"/>
  <c r="R324" i="1"/>
  <c r="Q324" i="1"/>
  <c r="T323" i="1"/>
  <c r="S323" i="1"/>
  <c r="R323" i="1"/>
  <c r="Q323" i="1"/>
  <c r="T322" i="1"/>
  <c r="S322" i="1"/>
  <c r="R322" i="1"/>
  <c r="Q322" i="1"/>
  <c r="T321" i="1"/>
  <c r="S321" i="1"/>
  <c r="R321" i="1"/>
  <c r="Q321" i="1"/>
  <c r="T320" i="1"/>
  <c r="S320" i="1"/>
  <c r="R320" i="1"/>
  <c r="Q320" i="1"/>
  <c r="T319" i="1"/>
  <c r="S319" i="1"/>
  <c r="R319" i="1"/>
  <c r="Q319" i="1"/>
  <c r="T318" i="1"/>
  <c r="S318" i="1"/>
  <c r="R318" i="1"/>
  <c r="Q318" i="1"/>
  <c r="T317" i="1"/>
  <c r="S317" i="1"/>
  <c r="R317" i="1"/>
  <c r="Q317" i="1"/>
  <c r="T316" i="1"/>
  <c r="S316" i="1"/>
  <c r="R316" i="1"/>
  <c r="Q316" i="1"/>
  <c r="T315" i="1"/>
  <c r="S315" i="1"/>
  <c r="R315" i="1"/>
  <c r="Q315" i="1"/>
  <c r="T314" i="1"/>
  <c r="S314" i="1"/>
  <c r="R314" i="1"/>
  <c r="Q314" i="1"/>
  <c r="T313" i="1"/>
  <c r="S313" i="1"/>
  <c r="R313" i="1"/>
  <c r="Q313" i="1"/>
  <c r="T312" i="1"/>
  <c r="S312" i="1"/>
  <c r="R312" i="1"/>
  <c r="Q312" i="1"/>
  <c r="T311" i="1"/>
  <c r="S311" i="1"/>
  <c r="R311" i="1"/>
  <c r="Q311" i="1"/>
  <c r="T310" i="1"/>
  <c r="S310" i="1"/>
  <c r="R310" i="1"/>
  <c r="Q310" i="1"/>
  <c r="T309" i="1"/>
  <c r="S309" i="1"/>
  <c r="R309" i="1"/>
  <c r="Q309" i="1"/>
  <c r="T308" i="1"/>
  <c r="S308" i="1"/>
  <c r="R308" i="1"/>
  <c r="Q308" i="1"/>
  <c r="T307" i="1"/>
  <c r="S307" i="1"/>
  <c r="R307" i="1"/>
  <c r="Q307" i="1"/>
  <c r="T306" i="1"/>
  <c r="S306" i="1"/>
  <c r="R306" i="1"/>
  <c r="Q306" i="1"/>
  <c r="Q297" i="1"/>
  <c r="R297" i="1"/>
  <c r="S297" i="1"/>
  <c r="T297" i="1"/>
  <c r="Q298" i="1"/>
  <c r="R298" i="1"/>
  <c r="S298" i="1"/>
  <c r="T298" i="1"/>
  <c r="Q299" i="1"/>
  <c r="R299" i="1"/>
  <c r="S299" i="1"/>
  <c r="T299" i="1"/>
  <c r="Q300" i="1"/>
  <c r="R300" i="1"/>
  <c r="S300" i="1"/>
  <c r="T300" i="1"/>
  <c r="Q296" i="1"/>
  <c r="R296" i="1"/>
  <c r="S296" i="1"/>
  <c r="T296" i="1"/>
  <c r="Q59" i="1"/>
  <c r="R59" i="1"/>
  <c r="S59" i="1"/>
  <c r="T59" i="1"/>
  <c r="Q60" i="1"/>
  <c r="R60" i="1"/>
  <c r="S60" i="1"/>
  <c r="T60" i="1"/>
  <c r="H55" i="1"/>
  <c r="G55" i="1"/>
  <c r="F55" i="1"/>
  <c r="E55" i="1"/>
  <c r="E54" i="1"/>
  <c r="F54" i="1"/>
  <c r="G54" i="1"/>
  <c r="H54" i="1"/>
  <c r="E56" i="1"/>
  <c r="F56" i="1"/>
  <c r="G56" i="1"/>
  <c r="H56" i="1"/>
  <c r="H53" i="1"/>
  <c r="G53" i="1"/>
  <c r="F53" i="1"/>
  <c r="E53" i="1"/>
  <c r="H52" i="1"/>
  <c r="G52" i="1"/>
  <c r="F52" i="1"/>
  <c r="E52" i="1"/>
  <c r="Q294" i="1"/>
  <c r="R294" i="1"/>
  <c r="S294" i="1"/>
  <c r="T294" i="1"/>
  <c r="Q295" i="1"/>
  <c r="R295" i="1"/>
  <c r="S295" i="1"/>
  <c r="T295" i="1"/>
  <c r="Q293" i="1"/>
  <c r="R293" i="1"/>
  <c r="S293" i="1"/>
  <c r="T293" i="1"/>
  <c r="Q292" i="1"/>
  <c r="R292" i="1"/>
  <c r="S292" i="1"/>
  <c r="T292" i="1"/>
  <c r="Q75" i="1"/>
  <c r="R75" i="1"/>
  <c r="S75" i="1"/>
  <c r="T75" i="1"/>
  <c r="Q76" i="1"/>
  <c r="R76" i="1"/>
  <c r="S76" i="1"/>
  <c r="T76" i="1"/>
  <c r="Q77" i="1"/>
  <c r="R77" i="1"/>
  <c r="S77" i="1"/>
  <c r="T77" i="1"/>
  <c r="Q78" i="1"/>
  <c r="R78" i="1"/>
  <c r="S78" i="1"/>
  <c r="T78" i="1"/>
  <c r="Q79" i="1"/>
  <c r="R79" i="1"/>
  <c r="S79" i="1"/>
  <c r="T79" i="1"/>
  <c r="Q80" i="1"/>
  <c r="R80" i="1"/>
  <c r="S80" i="1"/>
  <c r="T80" i="1"/>
  <c r="Q81" i="1"/>
  <c r="R81" i="1"/>
  <c r="S81" i="1"/>
  <c r="T81" i="1"/>
  <c r="Q70" i="1"/>
  <c r="R70" i="1"/>
  <c r="S70" i="1"/>
  <c r="T70" i="1"/>
  <c r="Q71" i="1"/>
  <c r="R71" i="1"/>
  <c r="S71" i="1"/>
  <c r="T71" i="1"/>
  <c r="Q72" i="1"/>
  <c r="R72" i="1"/>
  <c r="S72" i="1"/>
  <c r="T72" i="1"/>
  <c r="Q73" i="1"/>
  <c r="R73" i="1"/>
  <c r="S73" i="1"/>
  <c r="T73" i="1"/>
  <c r="Q74" i="1"/>
  <c r="R74" i="1"/>
  <c r="S74" i="1"/>
  <c r="T74" i="1"/>
  <c r="Q291" i="1"/>
  <c r="R291" i="1"/>
  <c r="S291" i="1"/>
  <c r="T291" i="1"/>
  <c r="Q280" i="1"/>
  <c r="R280" i="1"/>
  <c r="S280" i="1"/>
  <c r="T280" i="1"/>
  <c r="Q281" i="1"/>
  <c r="R281" i="1"/>
  <c r="S281" i="1"/>
  <c r="T281" i="1"/>
  <c r="Q282" i="1"/>
  <c r="R282" i="1"/>
  <c r="S282" i="1"/>
  <c r="T282" i="1"/>
  <c r="Q283" i="1"/>
  <c r="R283" i="1"/>
  <c r="S283" i="1"/>
  <c r="T283" i="1"/>
  <c r="Q284" i="1"/>
  <c r="R284" i="1"/>
  <c r="S284" i="1"/>
  <c r="T284" i="1"/>
  <c r="Q285" i="1"/>
  <c r="R285" i="1"/>
  <c r="S285" i="1"/>
  <c r="T285" i="1"/>
  <c r="Q286" i="1"/>
  <c r="R286" i="1"/>
  <c r="S286" i="1"/>
  <c r="T286" i="1"/>
  <c r="Q279" i="1"/>
  <c r="R279" i="1"/>
  <c r="S279" i="1"/>
  <c r="T279" i="1"/>
  <c r="Q172" i="1"/>
  <c r="R172" i="1"/>
  <c r="S172" i="1"/>
  <c r="T172" i="1"/>
  <c r="Q173" i="1"/>
  <c r="R173" i="1"/>
  <c r="S173" i="1"/>
  <c r="T173" i="1"/>
  <c r="Q174" i="1"/>
  <c r="R174" i="1"/>
  <c r="S174" i="1"/>
  <c r="T174" i="1"/>
  <c r="Q175" i="1"/>
  <c r="R175" i="1"/>
  <c r="S175" i="1"/>
  <c r="T175" i="1"/>
  <c r="Q176" i="1"/>
  <c r="R176" i="1"/>
  <c r="S176" i="1"/>
  <c r="T176" i="1"/>
  <c r="Q177" i="1"/>
  <c r="R177" i="1"/>
  <c r="S177" i="1"/>
  <c r="T177" i="1"/>
  <c r="Q178" i="1"/>
  <c r="R178" i="1"/>
  <c r="S178" i="1"/>
  <c r="T178" i="1"/>
  <c r="Q179" i="1"/>
  <c r="R179" i="1"/>
  <c r="S179" i="1"/>
  <c r="T179" i="1"/>
  <c r="Q180" i="1"/>
  <c r="R180" i="1"/>
  <c r="S180" i="1"/>
  <c r="T180" i="1"/>
  <c r="Q181" i="1"/>
  <c r="R181" i="1"/>
  <c r="S181" i="1"/>
  <c r="T181" i="1"/>
  <c r="Q182" i="1"/>
  <c r="R182" i="1"/>
  <c r="S182" i="1"/>
  <c r="T182" i="1"/>
  <c r="Q183" i="1"/>
  <c r="R183" i="1"/>
  <c r="S183" i="1"/>
  <c r="T183" i="1"/>
  <c r="Q184" i="1"/>
  <c r="R184" i="1"/>
  <c r="S184" i="1"/>
  <c r="T184" i="1"/>
  <c r="Q185" i="1"/>
  <c r="R185" i="1"/>
  <c r="S185" i="1"/>
  <c r="T185" i="1"/>
  <c r="Q186" i="1"/>
  <c r="R186" i="1"/>
  <c r="S186" i="1"/>
  <c r="T186" i="1"/>
  <c r="Q187" i="1"/>
  <c r="R187" i="1"/>
  <c r="S187" i="1"/>
  <c r="T187" i="1"/>
  <c r="Q188" i="1"/>
  <c r="R188" i="1"/>
  <c r="S188" i="1"/>
  <c r="T188" i="1"/>
  <c r="Q189" i="1"/>
  <c r="R189" i="1"/>
  <c r="S189" i="1"/>
  <c r="T189" i="1"/>
  <c r="Q190" i="1"/>
  <c r="R190" i="1"/>
  <c r="S190" i="1"/>
  <c r="T190" i="1"/>
  <c r="Q191" i="1"/>
  <c r="R191" i="1"/>
  <c r="S191" i="1"/>
  <c r="T191" i="1"/>
  <c r="Q192" i="1"/>
  <c r="R192" i="1"/>
  <c r="S192" i="1"/>
  <c r="T192" i="1"/>
  <c r="Q193" i="1"/>
  <c r="R193" i="1"/>
  <c r="S193" i="1"/>
  <c r="T193" i="1"/>
  <c r="Q194" i="1"/>
  <c r="R194" i="1"/>
  <c r="S194" i="1"/>
  <c r="T194" i="1"/>
  <c r="Q195" i="1"/>
  <c r="R195" i="1"/>
  <c r="S195" i="1"/>
  <c r="T195" i="1"/>
  <c r="Q196" i="1"/>
  <c r="R196" i="1"/>
  <c r="S196" i="1"/>
  <c r="T196" i="1"/>
  <c r="Q197" i="1"/>
  <c r="R197" i="1"/>
  <c r="S197" i="1"/>
  <c r="T197" i="1"/>
  <c r="Q198" i="1"/>
  <c r="R198" i="1"/>
  <c r="S198" i="1"/>
  <c r="T198" i="1"/>
  <c r="Q199" i="1"/>
  <c r="R199" i="1"/>
  <c r="S199" i="1"/>
  <c r="T199" i="1"/>
  <c r="Q200" i="1"/>
  <c r="R200" i="1"/>
  <c r="S200" i="1"/>
  <c r="T200" i="1"/>
  <c r="Q201" i="1"/>
  <c r="R201" i="1"/>
  <c r="S201" i="1"/>
  <c r="T201" i="1"/>
  <c r="Q202" i="1"/>
  <c r="R202" i="1"/>
  <c r="S202" i="1"/>
  <c r="T202" i="1"/>
  <c r="Q203" i="1"/>
  <c r="R203" i="1"/>
  <c r="S203" i="1"/>
  <c r="T203" i="1"/>
  <c r="Q204" i="1"/>
  <c r="R204" i="1"/>
  <c r="S204" i="1"/>
  <c r="T204" i="1"/>
  <c r="Q205" i="1"/>
  <c r="R205" i="1"/>
  <c r="S205" i="1"/>
  <c r="T205" i="1"/>
  <c r="Q206" i="1"/>
  <c r="R206" i="1"/>
  <c r="S206" i="1"/>
  <c r="T206" i="1"/>
  <c r="Q171" i="1"/>
  <c r="R171" i="1"/>
  <c r="S171" i="1"/>
  <c r="T171" i="1"/>
  <c r="Q170" i="1"/>
  <c r="R170" i="1"/>
  <c r="S170" i="1"/>
  <c r="T170" i="1"/>
  <c r="Q169" i="1"/>
  <c r="R169" i="1"/>
  <c r="S169" i="1"/>
  <c r="T169" i="1"/>
  <c r="Q165" i="1"/>
  <c r="R165" i="1"/>
  <c r="S165" i="1"/>
  <c r="T165" i="1"/>
  <c r="Q166" i="1"/>
  <c r="R166" i="1"/>
  <c r="S166" i="1"/>
  <c r="T166" i="1"/>
  <c r="Q167" i="1"/>
  <c r="R167" i="1"/>
  <c r="S167" i="1"/>
  <c r="T167" i="1"/>
  <c r="Q163" i="1"/>
  <c r="R163" i="1"/>
  <c r="S163" i="1"/>
  <c r="T163" i="1"/>
  <c r="T162" i="1"/>
  <c r="S162" i="1"/>
  <c r="R162" i="1"/>
  <c r="Q162" i="1"/>
  <c r="T161" i="1"/>
  <c r="S161" i="1"/>
  <c r="R161" i="1"/>
  <c r="Q161" i="1"/>
  <c r="Q160" i="1"/>
  <c r="R160" i="1"/>
  <c r="S160" i="1"/>
  <c r="T160" i="1"/>
  <c r="Q159" i="1"/>
  <c r="R159" i="1"/>
  <c r="S159" i="1"/>
  <c r="T159" i="1"/>
  <c r="Q158" i="1"/>
  <c r="R158" i="1"/>
  <c r="S158" i="1"/>
  <c r="T158" i="1"/>
  <c r="Q157" i="1"/>
  <c r="R157" i="1"/>
  <c r="S157" i="1"/>
  <c r="T157" i="1"/>
  <c r="Q156" i="1"/>
  <c r="R156" i="1"/>
  <c r="S156" i="1"/>
  <c r="T156" i="1"/>
  <c r="Q155" i="1"/>
  <c r="R155" i="1"/>
  <c r="S155" i="1"/>
  <c r="T155" i="1"/>
  <c r="Q154" i="1"/>
  <c r="R154" i="1"/>
  <c r="S154" i="1"/>
  <c r="T154" i="1"/>
  <c r="Q153" i="1"/>
  <c r="R153" i="1"/>
  <c r="S153" i="1"/>
  <c r="T153" i="1"/>
  <c r="Q152" i="1"/>
  <c r="R152" i="1"/>
  <c r="S152" i="1"/>
  <c r="T152" i="1"/>
  <c r="Q151" i="1"/>
  <c r="R151" i="1"/>
  <c r="S151" i="1"/>
  <c r="T151" i="1"/>
  <c r="Q148" i="1"/>
  <c r="R148" i="1"/>
  <c r="S148" i="1"/>
  <c r="T148" i="1"/>
  <c r="Q149" i="1"/>
  <c r="R149" i="1"/>
  <c r="S149" i="1"/>
  <c r="T149" i="1"/>
  <c r="Q150" i="1"/>
  <c r="R150" i="1"/>
  <c r="S150" i="1"/>
  <c r="T150" i="1"/>
  <c r="Q147" i="1"/>
  <c r="R147" i="1"/>
  <c r="S147" i="1"/>
  <c r="T147" i="1"/>
  <c r="Q145" i="1"/>
  <c r="R145" i="1"/>
  <c r="S145" i="1"/>
  <c r="T145" i="1"/>
  <c r="Q144" i="1"/>
  <c r="R144" i="1"/>
  <c r="S144" i="1"/>
  <c r="T144" i="1"/>
  <c r="Q142" i="1"/>
  <c r="R142" i="1"/>
  <c r="S142" i="1"/>
  <c r="T142" i="1"/>
  <c r="Q143" i="1"/>
  <c r="R143" i="1"/>
  <c r="S143" i="1"/>
  <c r="T143" i="1"/>
  <c r="Q125" i="1"/>
  <c r="R125" i="1"/>
  <c r="S125" i="1"/>
  <c r="T125" i="1"/>
  <c r="Q129" i="1"/>
  <c r="R129" i="1"/>
  <c r="S129" i="1"/>
  <c r="T129" i="1"/>
  <c r="Q130" i="1"/>
  <c r="R130" i="1"/>
  <c r="S130" i="1"/>
  <c r="T130" i="1"/>
  <c r="Q131" i="1"/>
  <c r="R131" i="1"/>
  <c r="S131" i="1"/>
  <c r="T131" i="1"/>
  <c r="Q135" i="1"/>
  <c r="R135" i="1"/>
  <c r="S135" i="1"/>
  <c r="T135" i="1"/>
  <c r="Q136" i="1"/>
  <c r="R136" i="1"/>
  <c r="S136" i="1"/>
  <c r="T136" i="1"/>
  <c r="Q137" i="1"/>
  <c r="R137" i="1"/>
  <c r="S137" i="1"/>
  <c r="T137" i="1"/>
  <c r="Q141" i="1"/>
  <c r="R141" i="1"/>
  <c r="S141" i="1"/>
  <c r="T141" i="1"/>
  <c r="Q124" i="1"/>
  <c r="R124" i="1"/>
  <c r="S124" i="1"/>
  <c r="T124" i="1"/>
  <c r="Q62" i="1"/>
  <c r="R62" i="1"/>
  <c r="S62" i="1"/>
  <c r="T62" i="1"/>
  <c r="Q63" i="1"/>
  <c r="R63" i="1"/>
  <c r="S63" i="1"/>
  <c r="T63" i="1"/>
  <c r="Q64" i="1"/>
  <c r="R64" i="1"/>
  <c r="S64" i="1"/>
  <c r="T64" i="1"/>
  <c r="T61" i="1"/>
  <c r="Q58" i="1"/>
  <c r="R58" i="1"/>
  <c r="S58" i="1"/>
  <c r="T58" i="1"/>
  <c r="Q57" i="1"/>
  <c r="R57" i="1"/>
  <c r="S57" i="1"/>
  <c r="T57" i="1"/>
  <c r="Q43" i="1"/>
  <c r="R43" i="1"/>
  <c r="S43" i="1"/>
  <c r="T43" i="1"/>
  <c r="Q44" i="1"/>
  <c r="R44" i="1"/>
  <c r="S44" i="1"/>
  <c r="T44" i="1"/>
  <c r="Q45" i="1"/>
  <c r="R45" i="1"/>
  <c r="S45" i="1"/>
  <c r="T45" i="1"/>
  <c r="Q46" i="1"/>
  <c r="R46" i="1"/>
  <c r="S46" i="1"/>
  <c r="T46" i="1"/>
  <c r="Q42" i="1"/>
  <c r="R42" i="1"/>
  <c r="S42" i="1"/>
  <c r="T42" i="1"/>
  <c r="T28" i="1"/>
  <c r="T29" i="1"/>
  <c r="T30" i="1"/>
  <c r="T31" i="1"/>
  <c r="T37" i="1"/>
  <c r="T38" i="1"/>
  <c r="T39" i="1"/>
  <c r="T40" i="1"/>
  <c r="T41" i="1"/>
  <c r="Q28" i="1"/>
  <c r="R28" i="1"/>
  <c r="S28" i="1"/>
  <c r="Q29" i="1"/>
  <c r="R29" i="1"/>
  <c r="S29" i="1"/>
  <c r="Q30" i="1"/>
  <c r="R30" i="1"/>
  <c r="S30" i="1"/>
  <c r="Q31" i="1"/>
  <c r="R31" i="1"/>
  <c r="S31" i="1"/>
  <c r="Q37" i="1"/>
  <c r="R37" i="1"/>
  <c r="S37" i="1"/>
  <c r="Q38" i="1"/>
  <c r="R38" i="1"/>
  <c r="S38" i="1"/>
  <c r="Q39" i="1"/>
  <c r="R39" i="1"/>
  <c r="S39" i="1"/>
  <c r="Q40" i="1"/>
  <c r="R40" i="1"/>
  <c r="S40" i="1"/>
  <c r="Q41" i="1"/>
  <c r="R41" i="1"/>
  <c r="S41" i="1"/>
  <c r="T27" i="1"/>
  <c r="Q27" i="1"/>
  <c r="R27" i="1"/>
  <c r="S27" i="1"/>
  <c r="T10" i="1"/>
  <c r="T11" i="1"/>
  <c r="Q11" i="1"/>
  <c r="R11" i="1"/>
  <c r="S11" i="1"/>
  <c r="Q10" i="1"/>
  <c r="R10" i="1"/>
  <c r="S10" i="1"/>
  <c r="T9" i="1"/>
  <c r="Q9" i="1"/>
  <c r="R9" i="1"/>
  <c r="S9" i="1"/>
  <c r="T8" i="1"/>
  <c r="Q8" i="1"/>
  <c r="R8" i="1"/>
  <c r="S8" i="1"/>
  <c r="T5" i="1"/>
  <c r="T6" i="1"/>
  <c r="T7" i="1"/>
  <c r="V7" i="1" s="1"/>
  <c r="Q7" i="1"/>
  <c r="R7" i="1"/>
  <c r="S7" i="1"/>
  <c r="S6" i="1"/>
  <c r="R6" i="1"/>
  <c r="Q6" i="1"/>
  <c r="S5" i="1"/>
  <c r="R5" i="1"/>
  <c r="Q5" i="1"/>
  <c r="R61" i="1"/>
  <c r="S61" i="1"/>
  <c r="Q61" i="1"/>
  <c r="U7" i="1" l="1"/>
  <c r="S55" i="1"/>
  <c r="Q53" i="1"/>
  <c r="S52" i="1"/>
  <c r="T52" i="1"/>
  <c r="R52" i="1"/>
  <c r="Q55" i="1"/>
  <c r="Q54" i="1"/>
  <c r="R54" i="1"/>
  <c r="Q52" i="1"/>
  <c r="T55" i="1"/>
  <c r="R55" i="1"/>
  <c r="Q56" i="1"/>
  <c r="T54" i="1"/>
  <c r="S54" i="1"/>
  <c r="S53" i="1"/>
  <c r="R53" i="1"/>
  <c r="T53" i="1"/>
  <c r="T56" i="1"/>
  <c r="S56" i="1"/>
  <c r="R56" i="1"/>
</calcChain>
</file>

<file path=xl/sharedStrings.xml><?xml version="1.0" encoding="utf-8"?>
<sst xmlns="http://schemas.openxmlformats.org/spreadsheetml/2006/main" count="1729" uniqueCount="777">
  <si>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</si>
  <si>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</si>
  <si>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</si>
  <si>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</si>
  <si>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</si>
  <si>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</si>
  <si>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</si>
  <si>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</si>
  <si>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</si>
  <si>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</si>
  <si>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</si>
  <si>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</si>
  <si>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</si>
  <si>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</si>
  <si>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</si>
  <si>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</si>
  <si>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</si>
  <si>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</si>
  <si>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</si>
  <si>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</si>
  <si>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</si>
  <si>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</si>
  <si>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</si>
  <si>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</si>
  <si>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</si>
  <si>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</si>
  <si>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</si>
  <si>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</si>
  <si>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</si>
  <si>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</si>
  <si>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</si>
  <si>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</si>
  <si>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</si>
  <si>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</si>
  <si>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</si>
  <si>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</si>
  <si>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</si>
  <si>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</si>
  <si>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</si>
  <si>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</si>
  <si>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</si>
  <si>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</si>
  <si>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</si>
  <si>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</si>
  <si>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</si>
  <si>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</si>
  <si>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</si>
  <si>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</si>
  <si>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</si>
  <si>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</si>
  <si>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</si>
  <si>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</si>
  <si>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</si>
  <si>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</si>
  <si>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</si>
  <si>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</si>
  <si>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</si>
  <si>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</si>
  <si>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</si>
  <si>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</si>
  <si>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</si>
  <si>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</si>
  <si>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</si>
  <si>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</si>
  <si>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</si>
  <si>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</si>
  <si>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</si>
  <si>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</si>
  <si>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</si>
  <si>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</si>
  <si>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</si>
  <si>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</si>
  <si>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</si>
  <si>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</si>
  <si>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</si>
  <si>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</si>
  <si>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</si>
  <si>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</si>
  <si>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</si>
  <si>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</si>
  <si>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</si>
  <si>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</si>
  <si>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</si>
  <si>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</si>
  <si>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</si>
  <si>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</si>
  <si>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</si>
  <si>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</si>
  <si>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</si>
  <si>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</si>
  <si>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</si>
  <si>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</si>
  <si>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mpex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</si>
  <si>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</si>
  <si>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</si>
  <si>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</si>
  <si>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</si>
  <si>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</si>
  <si>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</si>
  <si>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</si>
  <si>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</si>
  <si>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</si>
  <si>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</si>
  <si>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</si>
  <si>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</si>
  <si>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</si>
  <si>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</si>
  <si>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atktnov1</t>
    <phoneticPr fontId="1" type="noConversion"/>
  </si>
  <si>
    <t>atkhhel1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</si>
  <si>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</si>
  <si>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</si>
  <si>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</si>
  <si>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</si>
  <si>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</si>
  <si>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</si>
  <si>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</si>
  <si>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</si>
  <si>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</si>
  <si>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</si>
  <si>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</si>
  <si>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</si>
  <si>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</si>
  <si>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</si>
  <si>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</si>
  <si>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</si>
  <si>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</si>
  <si>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</si>
  <si>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</si>
  <si>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</si>
  <si>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</si>
  <si>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</si>
  <si>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</si>
  <si>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</si>
  <si>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</si>
  <si>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</si>
  <si>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</si>
  <si>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</si>
  <si>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</si>
  <si>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</si>
  <si>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</si>
  <si>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</si>
  <si>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</si>
  <si>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</si>
  <si>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</si>
  <si>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</si>
  <si>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</si>
  <si>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</si>
  <si>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</si>
  <si>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</si>
  <si>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</si>
  <si>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</si>
  <si>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</si>
  <si>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</si>
  <si>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</si>
  <si>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</si>
  <si>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</si>
  <si>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</si>
  <si>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</si>
  <si>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</si>
  <si>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</si>
  <si>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</si>
  <si>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</si>
  <si>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</si>
  <si>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</si>
  <si>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</si>
  <si>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</si>
  <si>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</si>
  <si>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</si>
  <si>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</si>
  <si>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</si>
  <si>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</si>
  <si>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</si>
  <si>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</si>
  <si>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</si>
  <si>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</si>
  <si>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</si>
  <si>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</si>
  <si>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</si>
  <si>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</si>
  <si>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</si>
  <si>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</si>
  <si>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</si>
  <si>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</si>
  <si>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</si>
  <si>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</si>
  <si>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</si>
  <si>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</si>
  <si>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</si>
  <si>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</si>
  <si>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</si>
  <si>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</si>
  <si>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</si>
  <si>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</si>
  <si>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</si>
  <si>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</si>
  <si>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</si>
  <si>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</si>
  <si>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</si>
  <si>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</si>
  <si>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</si>
  <si>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</si>
  <si>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</si>
  <si>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</si>
  <si>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</si>
  <si>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</si>
  <si>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</si>
  <si>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</si>
  <si>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</si>
  <si>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</si>
  <si>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</si>
  <si>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</si>
  <si>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</si>
  <si>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</si>
  <si>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</si>
  <si>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</si>
  <si>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</si>
  <si>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</si>
  <si>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</si>
  <si>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</si>
  <si>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</si>
  <si>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</si>
  <si>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</si>
  <si>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</si>
  <si>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</si>
  <si>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</si>
  <si>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</si>
  <si>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</si>
  <si>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</si>
  <si>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</si>
  <si>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</si>
  <si>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</si>
  <si>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</si>
  <si>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</si>
  <si>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</si>
  <si>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</si>
  <si>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</si>
  <si>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</si>
  <si>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</si>
  <si>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</si>
  <si>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</si>
  <si>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</si>
  <si>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</si>
  <si>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</si>
  <si>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</si>
  <si>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</si>
  <si>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</si>
  <si>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</si>
  <si>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</si>
  <si>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</si>
  <si>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</si>
  <si>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</si>
  <si>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</si>
  <si>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</si>
  <si>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</si>
  <si>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</si>
  <si>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</si>
  <si>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</si>
  <si>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</si>
  <si>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</si>
  <si>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</si>
  <si>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</si>
  <si>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</si>
  <si>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</si>
  <si>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</si>
  <si>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</si>
  <si>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</si>
  <si>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</si>
  <si>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</si>
  <si>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</si>
  <si>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</si>
  <si>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</si>
  <si>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</si>
  <si>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</si>
  <si>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</si>
  <si>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</si>
  <si>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</si>
  <si>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</si>
  <si>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</si>
  <si>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</si>
  <si>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</si>
  <si>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</si>
  <si>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</si>
  <si>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</si>
  <si>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</si>
  <si>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</si>
  <si>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</si>
  <si>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</si>
  <si>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</si>
  <si>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</si>
  <si>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</si>
  <si>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</si>
  <si>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</si>
  <si>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</si>
  <si>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</si>
  <si>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</si>
  <si>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</si>
  <si>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</si>
  <si>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</si>
  <si>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</si>
  <si>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</si>
  <si>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</si>
  <si>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</si>
  <si>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</si>
  <si>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</si>
  <si>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</si>
  <si>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</si>
  <si>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</si>
  <si>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</si>
  <si>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</si>
  <si>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</si>
  <si>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</si>
  <si>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</si>
  <si>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</si>
  <si>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</si>
  <si>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</si>
  <si>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</si>
  <si>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</si>
  <si>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</si>
  <si>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</si>
  <si>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</si>
  <si>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</si>
  <si>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</si>
  <si>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</si>
  <si>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</si>
  <si>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</si>
  <si>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</si>
  <si>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</si>
  <si>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</si>
  <si>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</si>
  <si>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</si>
  <si>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</si>
  <si>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</si>
  <si>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</si>
  <si>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</si>
  <si>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</si>
  <si>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</si>
  <si>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</si>
  <si>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</si>
  <si>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</si>
  <si>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</si>
  <si>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</si>
  <si>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</si>
  <si>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</si>
  <si>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</si>
  <si>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</si>
  <si>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</si>
  <si>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</si>
  <si>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</si>
  <si>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</si>
  <si>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</si>
  <si>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</si>
  <si>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</si>
  <si>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</si>
  <si>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</si>
  <si>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</si>
  <si>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</si>
  <si>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</si>
  <si>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</si>
  <si>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</si>
  <si>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</si>
  <si>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</si>
  <si>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</si>
  <si>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</si>
  <si>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</si>
  <si>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</si>
  <si>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</si>
  <si>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</si>
  <si>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</si>
  <si>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</si>
  <si>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</si>
  <si>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</si>
  <si>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</si>
  <si>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</si>
  <si>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</si>
  <si>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</si>
  <si>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</si>
  <si>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</si>
  <si>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</si>
  <si>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</si>
  <si>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</si>
  <si>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</si>
  <si>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</si>
  <si>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</si>
  <si>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</si>
  <si>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</si>
  <si>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</si>
  <si>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</si>
  <si>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</si>
  <si>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</si>
  <si>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</si>
  <si>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</si>
  <si>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</si>
  <si>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</si>
  <si>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</si>
  <si>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necklace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</si>
  <si>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</si>
  <si>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</si>
  <si>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</si>
  <si>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</si>
  <si>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</si>
  <si>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</si>
  <si>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</si>
  <si>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</si>
  <si>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</si>
  <si>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</si>
  <si>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</si>
  <si>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</si>
  <si>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</si>
  <si>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</si>
  <si>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</si>
  <si>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</si>
  <si>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</si>
  <si>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</si>
  <si>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</si>
  <si>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</si>
  <si>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</si>
  <si>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</si>
  <si>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</si>
  <si>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</si>
  <si>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</si>
  <si>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</si>
  <si>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</si>
  <si>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</si>
  <si>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</si>
  <si>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</si>
  <si>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</si>
  <si>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</si>
  <si>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</si>
  <si>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</si>
  <si>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</si>
  <si>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</si>
  <si>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</si>
  <si>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</si>
  <si>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</si>
  <si>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</si>
  <si>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</si>
  <si>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</si>
  <si>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</si>
  <si>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</si>
  <si>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</si>
  <si>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</si>
  <si>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</si>
  <si>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</si>
  <si>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</si>
  <si>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</si>
  <si>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</si>
  <si>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</si>
  <si>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</si>
  <si>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</si>
  <si>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</si>
  <si>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</si>
  <si>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</si>
  <si>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</si>
  <si>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</si>
  <si>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</si>
  <si>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</si>
  <si>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</si>
  <si>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</si>
  <si>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</si>
  <si>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</si>
  <si>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</si>
  <si>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</si>
  <si>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</si>
  <si>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</si>
  <si>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</si>
  <si>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</si>
  <si>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</si>
  <si>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</si>
  <si>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</si>
  <si>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</si>
  <si>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</si>
  <si>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</si>
  <si>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</si>
  <si>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</si>
  <si>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</si>
  <si>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</si>
  <si>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</si>
  <si>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</si>
  <si>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</si>
  <si>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</si>
  <si>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</si>
  <si>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</si>
  <si>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</si>
  <si>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</si>
  <si>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</si>
  <si>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</si>
  <si>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</si>
  <si>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</si>
  <si>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</si>
  <si>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</si>
  <si>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</si>
  <si>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</si>
  <si>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</si>
  <si>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</si>
  <si>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</si>
  <si>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</si>
  <si>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</si>
  <si>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</si>
  <si>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</si>
  <si>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</si>
  <si>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</si>
  <si>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</si>
  <si>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</si>
  <si>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</si>
  <si>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</si>
  <si>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</si>
  <si>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</si>
  <si>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</si>
  <si>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</si>
  <si>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</si>
  <si>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</si>
  <si>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</si>
  <si>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</si>
  <si>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</si>
  <si>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</si>
  <si>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</si>
  <si>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</si>
  <si>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</si>
  <si>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</si>
  <si>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</si>
  <si>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</si>
  <si>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</si>
  <si>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</si>
  <si>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</si>
  <si>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</si>
  <si>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</si>
  <si>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</si>
  <si>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</si>
  <si>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</si>
  <si>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</si>
  <si>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</si>
  <si>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</si>
  <si>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</si>
  <si>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</si>
  <si>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</si>
  <si>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</si>
  <si>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</si>
  <si>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</si>
  <si>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</si>
  <si>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</si>
  <si>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</si>
  <si>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</si>
  <si>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</si>
  <si>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</si>
  <si>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</si>
  <si>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</si>
  <si>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</si>
  <si>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necklace,ring</t>
  </si>
  <si>
    <t>necklace,armor,ring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</si>
  <si>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</si>
  <si>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</si>
  <si>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</si>
  <si>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</si>
  <si>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</si>
  <si>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</si>
  <si>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</si>
  <si>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</si>
  <si>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</si>
  <si>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</si>
  <si>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</si>
  <si>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</si>
  <si>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</si>
  <si>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</si>
  <si>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</si>
  <si>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</si>
  <si>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</si>
  <si>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</si>
  <si>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necklace,ring,charm1,charm2,charm3,sword,sword2h,dao,dao2h,dagger,axe,axe2h,mace,mace2h,polearm</t>
  </si>
  <si>
    <t>necklace,ring,charm1,charm2,charm3,staff,instrument</t>
  </si>
  <si>
    <t>sword,sword2h,dao,dao2h,dagger,axe,axe2h,mace,mace2h,polearm,staff,instrument</t>
  </si>
  <si>
    <t>sword,sword2h,dao,dao2h,dagger,axe,axe2h,mace,mace2h,polearm,staff,instrument,necklace,ring,charm1,charm2,charm3</t>
  </si>
  <si>
    <t>necklace,ring,charm1,charm2,charm3,armor</t>
  </si>
  <si>
    <t>necklace,charm3</t>
  </si>
  <si>
    <t>armor,belt,boot,glove,helm,necklace,pant,pauldron,ring,sword,sword2h,dao,dao2h,dagger,axe,axe2h,mace,mace2h,staff,polearm,instrument,bracelet</t>
  </si>
  <si>
    <t>armor,boot,glove,helm,pant,pauldron,sword,sword2h,dao,dao2h,dagger,axe,axe2h,mace,mace2h,staff,polearm,instrument,bracelet</t>
  </si>
  <si>
    <t>armor,helm,pant,sword,sword2h,dao,dao2h,axe,axe2h,mace,mace2h,staff,polearm,instrument</t>
  </si>
  <si>
    <t>armor,sword,sword2h,dao,dao2h,axe,axe2h,mace,mace2h,staff,polearm</t>
  </si>
  <si>
    <t>sword2h,dao2h,axe2h,mace2h,staff</t>
  </si>
  <si>
    <t>vits</t>
  </si>
  <si>
    <t>strs</t>
  </si>
  <si>
    <t>xeds</t>
  </si>
  <si>
    <t>necklace,ring,bracelet</t>
  </si>
  <si>
    <t>necklace,armor,bracelet</t>
  </si>
  <si>
    <t>necklace,ring,charm1,charm2,charm3,armor,bracelet</t>
  </si>
  <si>
    <t>necklace,armor,charm1,charm2,charm3,bracelet</t>
  </si>
  <si>
    <t>necklace,armor,charm1,charm2,charm3,ring,bracelet</t>
  </si>
  <si>
    <t>necklace,armor,ring,bracelet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</si>
  <si>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</si>
  <si>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</si>
  <si>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</si>
  <si>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</si>
  <si>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</si>
  <si>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</si>
  <si>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</si>
  <si>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</si>
  <si>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</si>
  <si>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</si>
  <si>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</si>
  <si>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</si>
  <si>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</si>
  <si>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</si>
  <si>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</si>
  <si>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</si>
  <si>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</si>
  <si>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</si>
  <si>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</si>
  <si>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</si>
  <si>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</si>
  <si>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</si>
  <si>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</si>
  <si>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</si>
  <si>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</si>
  <si>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</si>
  <si>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</si>
  <si>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</si>
  <si>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</si>
  <si>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</si>
  <si>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</si>
  <si>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</si>
  <si>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</si>
  <si>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</si>
  <si>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</si>
  <si>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</si>
  <si>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</si>
  <si>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</si>
  <si>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</si>
  <si>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</si>
  <si>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</si>
  <si>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</si>
  <si>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</si>
  <si>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</si>
  <si>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</si>
  <si>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</si>
  <si>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</si>
  <si>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</si>
  <si>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</si>
  <si>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</si>
  <si>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</si>
  <si>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</si>
  <si>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</si>
  <si>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</si>
  <si>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</si>
  <si>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</si>
  <si>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</si>
  <si>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</si>
  <si>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</si>
  <si>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</si>
  <si>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</si>
  <si>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</si>
  <si>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</si>
  <si>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</si>
  <si>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</si>
  <si>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</si>
  <si>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</si>
  <si>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</si>
  <si>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</si>
  <si>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</si>
  <si>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</si>
  <si>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</si>
  <si>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</si>
  <si>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</si>
  <si>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</si>
  <si>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</si>
  <si>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</si>
  <si>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</si>
  <si>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</si>
  <si>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</si>
  <si>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</si>
  <si>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</si>
  <si>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</si>
  <si>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</si>
  <si>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</si>
  <si>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</si>
  <si>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</si>
  <si>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</si>
  <si>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</si>
  <si>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</si>
  <si>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</si>
  <si>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</si>
  <si>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</si>
  <si>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</si>
  <si>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</si>
  <si>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</si>
  <si>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</si>
  <si>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</si>
  <si>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</si>
  <si>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</si>
  <si>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</si>
  <si>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</si>
  <si>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</si>
  <si>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</si>
  <si>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</si>
  <si>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</si>
  <si>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</si>
  <si>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</si>
  <si>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</si>
  <si>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</si>
  <si>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</si>
  <si>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</si>
  <si>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</si>
  <si>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</si>
  <si>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</si>
  <si>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</si>
  <si>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</si>
  <si>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</si>
  <si>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</si>
  <si>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</si>
  <si>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</si>
  <si>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</si>
  <si>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</si>
  <si>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</si>
  <si>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</si>
  <si>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</si>
  <si>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</si>
  <si>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</si>
  <si>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</si>
  <si>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</si>
  <si>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</si>
  <si>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</si>
  <si>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</si>
  <si>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</si>
  <si>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</si>
  <si>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</si>
  <si>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</si>
  <si>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</si>
  <si>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</si>
  <si>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</si>
  <si>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</si>
  <si>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</si>
  <si>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</si>
  <si>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</si>
  <si>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</si>
  <si>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</si>
  <si>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</si>
  <si>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</si>
  <si>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</si>
  <si>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</si>
  <si>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</si>
  <si>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</si>
  <si>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</si>
  <si>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</si>
  <si>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</si>
  <si>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</si>
  <si>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</si>
  <si>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</si>
  <si>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</si>
  <si>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</si>
  <si>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</si>
  <si>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</si>
  <si>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</si>
  <si>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</si>
  <si>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</si>
  <si>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</si>
  <si>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</si>
  <si>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</si>
  <si>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</si>
  <si>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</si>
  <si>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</si>
  <si>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</si>
  <si>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</si>
  <si>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</si>
  <si>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</si>
  <si>
    <t>magelvlmage</t>
  </si>
  <si>
    <t>warrlvlwarr</t>
  </si>
  <si>
    <t>wlklvlwlk</t>
  </si>
  <si>
    <t>隐秘法神之</t>
  </si>
  <si>
    <t>warlvl1</t>
  </si>
  <si>
    <t>maglvl1</t>
  </si>
  <si>
    <t>隐秘战神之</t>
  </si>
  <si>
    <t>wloklvl1</t>
  </si>
  <si>
    <t>隐秘天尊之</t>
  </si>
  <si>
    <t>maglvl2</t>
  </si>
  <si>
    <t>warlvl2</t>
  </si>
  <si>
    <t>wloklvl2</t>
  </si>
  <si>
    <t>maglvl3</t>
  </si>
  <si>
    <t>warlvl3</t>
  </si>
  <si>
    <t>wloklvl3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</si>
</sst>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59"/>
  <sheetViews>
    <sheetView tabSelected="1" workbookViewId="0">
      <pane ySplit="4" topLeftCell="A98" activePane="bottomLeft" state="frozen"/>
      <selection pane="bottomLeft" activeCell="H138" sqref="H138"/>
    </sheetView>
  </sheetViews>
  <sheetFormatPr defaultColWidth="9" defaultRowHeight="14.5"/>
  <cols>
    <col min="1" max="2" width="12.26953125" style="1" bestFit="1" customWidth="1"/>
    <col min="3" max="3" width="13.1796875" style="1" bestFit="1" customWidth="1"/>
    <col min="4" max="4" width="12.26953125" style="1" bestFit="1" customWidth="1"/>
    <col min="5" max="6" width="8" style="1" bestFit="1" customWidth="1"/>
    <col min="7" max="8" width="9.54296875" style="1" bestFit="1" customWidth="1"/>
    <col min="9" max="9" width="9.54296875" style="1" customWidth="1"/>
    <col min="10" max="10" width="9.54296875" style="1" bestFit="1" customWidth="1"/>
    <col min="11" max="12" width="10.54296875" style="1" customWidth="1"/>
    <col min="13" max="13" width="31" style="1" customWidth="1"/>
    <col min="14" max="14" width="8.6328125" style="1" customWidth="1"/>
    <col min="15" max="16" width="8.26953125" style="1" customWidth="1"/>
    <col min="17" max="19" width="13.26953125" style="1" customWidth="1"/>
    <col min="20" max="16384" width="9" style="1"/>
  </cols>
  <sheetData>
    <row r="1" spans="1:22">
      <c r="A1" s="1" t="s">
        <v>0</v>
      </c>
      <c r="B1" s="1" t="s">
        <v>1</v>
      </c>
      <c r="C1" s="1" t="s">
        <v>4</v>
      </c>
      <c r="D1" s="1" t="s">
        <v>127</v>
      </c>
      <c r="E1" s="1" t="s">
        <v>138</v>
      </c>
      <c r="F1" s="1" t="s">
        <v>139</v>
      </c>
      <c r="G1" s="1" t="s">
        <v>140</v>
      </c>
      <c r="H1" s="1" t="s">
        <v>141</v>
      </c>
      <c r="I1" s="1" t="s">
        <v>626</v>
      </c>
      <c r="J1" s="1" t="s">
        <v>170</v>
      </c>
      <c r="K1" s="1" t="s">
        <v>125</v>
      </c>
      <c r="L1" s="1" t="s">
        <v>549</v>
      </c>
      <c r="M1" s="1" t="s">
        <v>112</v>
      </c>
      <c r="N1" s="1" t="s">
        <v>617</v>
      </c>
      <c r="O1" s="1" t="s">
        <v>619</v>
      </c>
      <c r="P1" s="1" t="s">
        <v>760</v>
      </c>
    </row>
    <row r="2" spans="1:22">
      <c r="A2" s="1" t="s">
        <v>7</v>
      </c>
      <c r="B2" s="1" t="s">
        <v>2</v>
      </c>
      <c r="C2" s="1" t="s">
        <v>5</v>
      </c>
      <c r="D2" s="1" t="s">
        <v>128</v>
      </c>
      <c r="E2" s="1" t="s">
        <v>136</v>
      </c>
      <c r="F2" s="1" t="s">
        <v>136</v>
      </c>
      <c r="G2" s="1" t="s">
        <v>136</v>
      </c>
      <c r="H2" s="1" t="s">
        <v>136</v>
      </c>
      <c r="I2" s="1" t="s">
        <v>136</v>
      </c>
      <c r="J2" s="1" t="s">
        <v>136</v>
      </c>
      <c r="K2" s="1" t="s">
        <v>553</v>
      </c>
      <c r="L2" s="1" t="s">
        <v>550</v>
      </c>
      <c r="M2" s="1" t="s">
        <v>113</v>
      </c>
      <c r="N2" s="1" t="s">
        <v>136</v>
      </c>
      <c r="O2" s="1" t="s">
        <v>136</v>
      </c>
      <c r="P2" s="1" t="s">
        <v>136</v>
      </c>
      <c r="Q2" s="1">
        <v>0</v>
      </c>
      <c r="R2" s="1">
        <v>0</v>
      </c>
      <c r="S2" s="1">
        <v>5</v>
      </c>
    </row>
    <row r="3" spans="1:22">
      <c r="A3" s="1" t="s">
        <v>3</v>
      </c>
      <c r="M3" s="1" t="s">
        <v>396</v>
      </c>
      <c r="Q3" s="1">
        <v>0</v>
      </c>
      <c r="R3" s="1">
        <v>4</v>
      </c>
      <c r="S3" s="1">
        <v>4</v>
      </c>
    </row>
    <row r="4" spans="1:22">
      <c r="A4" s="2" t="s">
        <v>40</v>
      </c>
      <c r="B4" s="2" t="s">
        <v>115</v>
      </c>
      <c r="C4" s="2" t="s">
        <v>6</v>
      </c>
      <c r="D4" s="2" t="s">
        <v>137</v>
      </c>
      <c r="E4" s="2" t="s">
        <v>166</v>
      </c>
      <c r="F4" s="2" t="s">
        <v>167</v>
      </c>
      <c r="G4" s="2" t="s">
        <v>168</v>
      </c>
      <c r="H4" s="2" t="s">
        <v>169</v>
      </c>
      <c r="I4" s="2" t="s">
        <v>627</v>
      </c>
      <c r="J4" s="2" t="s">
        <v>171</v>
      </c>
      <c r="K4" s="2" t="s">
        <v>126</v>
      </c>
      <c r="L4" s="2" t="s">
        <v>551</v>
      </c>
      <c r="M4" s="2" t="s">
        <v>114</v>
      </c>
      <c r="N4" s="2" t="s">
        <v>618</v>
      </c>
      <c r="O4" s="2" t="s">
        <v>620</v>
      </c>
      <c r="P4" s="2" t="s">
        <v>761</v>
      </c>
    </row>
    <row r="5" spans="1:22">
      <c r="A5" s="1" t="s">
        <v>9</v>
      </c>
      <c r="B5" s="1" t="s">
        <v>397</v>
      </c>
      <c r="C5" s="1" t="s">
        <v>8</v>
      </c>
      <c r="D5" s="1" t="s">
        <v>129</v>
      </c>
      <c r="E5" s="1">
        <v>0.5</v>
      </c>
      <c r="F5" s="1">
        <v>1</v>
      </c>
      <c r="G5" s="1">
        <v>0.12</v>
      </c>
      <c r="H5" s="1">
        <v>0.4</v>
      </c>
      <c r="M5" s="1" t="s">
        <v>567</v>
      </c>
      <c r="P5" s="1">
        <v>100</v>
      </c>
      <c r="Q5" s="1" t="str">
        <f t="shared" ref="Q5:Q27" si="0">_xlfn.LET(_xlpm.a,($E5+Q$3*$G5)*(1+Q$2),_xlpm.b,($F5+Q$3*$H5)*(1+Q$2),_xlpm.a&amp;"-"&amp;_xlpm.b)</f>
        <v>0.5-1</v>
      </c>
      <c r="R5" s="1" t="str">
        <f t="shared" ref="R5:S39" si="1">_xlfn.LET(_xlpm.a,($E5+R$3*$G5)*(1+R$2),_xlpm.b,($F5+R$3*$H5)*(1+R$2),_xlpm.a&amp;"-"&amp;_xlpm.b)</f>
        <v>0.98-2.6</v>
      </c>
      <c r="S5" s="1" t="str">
        <f t="shared" si="1"/>
        <v>5.88-15.6</v>
      </c>
      <c r="T5" s="1">
        <f t="shared" ref="T5:T6" si="2">_xlfn.LET(_xlpm.a,($E5+S$3*$G5)*(1+S$2),_xlpm.b,($F5+S$3*$H5)*(1+S$2),_xlpm.a/2+_xlpm.b/2)</f>
        <v>10.74</v>
      </c>
    </row>
    <row r="6" spans="1:22">
      <c r="A6" s="1" t="s">
        <v>41</v>
      </c>
      <c r="B6" s="1" t="s">
        <v>398</v>
      </c>
      <c r="C6" s="1" t="s">
        <v>8</v>
      </c>
      <c r="D6" s="1" t="s">
        <v>130</v>
      </c>
      <c r="E6" s="1">
        <v>0.5</v>
      </c>
      <c r="F6" s="1">
        <v>1</v>
      </c>
      <c r="G6" s="1">
        <v>0.12</v>
      </c>
      <c r="H6" s="1">
        <v>0.4</v>
      </c>
      <c r="M6" s="1" t="s">
        <v>568</v>
      </c>
      <c r="P6" s="1">
        <v>100</v>
      </c>
      <c r="Q6" s="1" t="str">
        <f t="shared" si="0"/>
        <v>0.5-1</v>
      </c>
      <c r="R6" s="1" t="str">
        <f t="shared" si="1"/>
        <v>0.98-2.6</v>
      </c>
      <c r="S6" s="1" t="str">
        <f t="shared" si="1"/>
        <v>5.88-15.6</v>
      </c>
      <c r="T6" s="1">
        <f t="shared" si="2"/>
        <v>10.74</v>
      </c>
    </row>
    <row r="7" spans="1:22">
      <c r="A7" s="1" t="s">
        <v>10</v>
      </c>
      <c r="B7" s="1" t="s">
        <v>401</v>
      </c>
      <c r="C7" s="1" t="s">
        <v>8</v>
      </c>
      <c r="D7" s="1" t="s">
        <v>131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570</v>
      </c>
      <c r="P7" s="1">
        <v>100</v>
      </c>
      <c r="Q7" s="1" t="str">
        <f t="shared" si="0"/>
        <v>3-7</v>
      </c>
      <c r="R7" s="1" t="str">
        <f t="shared" si="1"/>
        <v>31-91</v>
      </c>
      <c r="S7" s="1" t="str">
        <f t="shared" si="1"/>
        <v>186-546</v>
      </c>
      <c r="T7" s="1">
        <f>_xlfn.LET(_xlpm.a,($E7+S$3*$G7)*(1+S$2),_xlpm.b,($F7+S$3*$H7)*(1+S$2),_xlpm.a/2+_xlpm.b/2)</f>
        <v>366</v>
      </c>
      <c r="U7" s="1">
        <f>T7*0.5</f>
        <v>183</v>
      </c>
      <c r="V7" s="1">
        <f>T7*1.5</f>
        <v>549</v>
      </c>
    </row>
    <row r="8" spans="1:22">
      <c r="A8" s="1" t="s">
        <v>11</v>
      </c>
      <c r="B8" s="1" t="s">
        <v>400</v>
      </c>
      <c r="C8" s="1" t="s">
        <v>8</v>
      </c>
      <c r="D8" s="1" t="s">
        <v>132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570</v>
      </c>
      <c r="P8" s="1">
        <v>100</v>
      </c>
      <c r="Q8" s="1" t="str">
        <f t="shared" si="0"/>
        <v>4-6</v>
      </c>
      <c r="R8" s="1" t="str">
        <f t="shared" si="1"/>
        <v>52-70</v>
      </c>
      <c r="S8" s="1" t="str">
        <f t="shared" si="1"/>
        <v>312-420</v>
      </c>
      <c r="T8" s="1">
        <f>_xlfn.LET(_xlpm.a,($E8+S$3*$G8)*(1+S$2),_xlpm.b,($F8+S$3*$H8)*(1+S$2),_xlpm.a/2+_xlpm.b/2)</f>
        <v>366</v>
      </c>
    </row>
    <row r="9" spans="1:22">
      <c r="A9" s="1" t="s">
        <v>12</v>
      </c>
      <c r="B9" s="1" t="s">
        <v>402</v>
      </c>
      <c r="C9" s="1" t="s">
        <v>8</v>
      </c>
      <c r="D9" s="1" t="s">
        <v>133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570</v>
      </c>
      <c r="P9" s="1">
        <v>100</v>
      </c>
      <c r="Q9" s="1" t="str">
        <f t="shared" si="0"/>
        <v>1-9</v>
      </c>
      <c r="R9" s="1" t="str">
        <f t="shared" si="1"/>
        <v>13-109</v>
      </c>
      <c r="S9" s="1" t="str">
        <f t="shared" si="1"/>
        <v>78-654</v>
      </c>
      <c r="T9" s="1">
        <f>_xlfn.LET(_xlpm.a,($E9+S$3*$G9)*(1+S$2),_xlpm.b,($F9+S$3*$H9)*(1+S$2),_xlpm.a/2+_xlpm.b/2)</f>
        <v>366</v>
      </c>
    </row>
    <row r="10" spans="1:22">
      <c r="A10" s="1" t="s">
        <v>13</v>
      </c>
      <c r="B10" s="1" t="s">
        <v>403</v>
      </c>
      <c r="C10" s="1" t="s">
        <v>8</v>
      </c>
      <c r="D10" s="1" t="s">
        <v>134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570</v>
      </c>
      <c r="P10" s="1">
        <v>100</v>
      </c>
      <c r="Q10" s="1" t="str">
        <f t="shared" si="0"/>
        <v>5-5</v>
      </c>
      <c r="R10" s="1" t="str">
        <f t="shared" si="1"/>
        <v>61-61</v>
      </c>
      <c r="S10" s="1" t="str">
        <f t="shared" si="1"/>
        <v>366-366</v>
      </c>
      <c r="T10" s="1">
        <f t="shared" ref="T10:T158" si="3">_xlfn.LET(_xlpm.a,($E10+S$3*$G10)*(1+S$2),_xlpm.b,($F10+S$3*$H10)*(1+S$2),_xlpm.a/2+_xlpm.b/2)</f>
        <v>366</v>
      </c>
    </row>
    <row r="11" spans="1:22">
      <c r="A11" s="1" t="s">
        <v>14</v>
      </c>
      <c r="B11" s="1" t="s">
        <v>404</v>
      </c>
      <c r="C11" s="1" t="s">
        <v>8</v>
      </c>
      <c r="D11" s="1" t="s">
        <v>135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570</v>
      </c>
      <c r="P11" s="1">
        <v>100</v>
      </c>
      <c r="Q11" s="1" t="str">
        <f t="shared" si="0"/>
        <v>0-10</v>
      </c>
      <c r="R11" s="1" t="str">
        <f t="shared" si="1"/>
        <v>0-122</v>
      </c>
      <c r="S11" s="1" t="str">
        <f t="shared" si="1"/>
        <v>0-732</v>
      </c>
      <c r="T11" s="1">
        <f t="shared" si="3"/>
        <v>366</v>
      </c>
    </row>
    <row r="12" spans="1:22">
      <c r="A12" s="1" t="s">
        <v>621</v>
      </c>
      <c r="B12" s="1" t="s">
        <v>621</v>
      </c>
      <c r="C12" s="1" t="s">
        <v>8</v>
      </c>
      <c r="D12" s="1" t="s">
        <v>131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Q12" s="1" t="str">
        <f t="shared" si="0"/>
        <v>30-90</v>
      </c>
      <c r="R12" s="1" t="str">
        <f t="shared" si="1"/>
        <v>30-90</v>
      </c>
      <c r="S12" s="1" t="str">
        <f t="shared" si="1"/>
        <v>180-540</v>
      </c>
      <c r="T12" s="1">
        <f t="shared" ref="T12:T16" si="4">_xlfn.LET(_xlpm.a,($E12+S$3*$G12)*(1+S$2),_xlpm.b,($F12+S$3*$H12)*(1+S$2),_xlpm.a/2+_xlpm.b/2)</f>
        <v>360</v>
      </c>
    </row>
    <row r="13" spans="1:22">
      <c r="A13" s="1" t="s">
        <v>622</v>
      </c>
      <c r="B13" s="1" t="s">
        <v>622</v>
      </c>
      <c r="C13" s="1" t="s">
        <v>8</v>
      </c>
      <c r="D13" s="1" t="s">
        <v>132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Q13" s="1" t="str">
        <f t="shared" si="0"/>
        <v>50-70</v>
      </c>
      <c r="R13" s="1" t="str">
        <f t="shared" si="1"/>
        <v>50-70</v>
      </c>
      <c r="S13" s="1" t="str">
        <f t="shared" si="1"/>
        <v>300-420</v>
      </c>
      <c r="T13" s="1">
        <f t="shared" si="4"/>
        <v>360</v>
      </c>
    </row>
    <row r="14" spans="1:22">
      <c r="A14" s="1" t="s">
        <v>623</v>
      </c>
      <c r="B14" s="1" t="s">
        <v>623</v>
      </c>
      <c r="C14" s="1" t="s">
        <v>8</v>
      </c>
      <c r="D14" s="1" t="s">
        <v>133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Q14" s="1" t="str">
        <f t="shared" si="0"/>
        <v>10-110</v>
      </c>
      <c r="R14" s="1" t="str">
        <f t="shared" si="1"/>
        <v>10-110</v>
      </c>
      <c r="S14" s="1" t="str">
        <f t="shared" si="1"/>
        <v>60-660</v>
      </c>
      <c r="T14" s="1">
        <f t="shared" si="4"/>
        <v>360</v>
      </c>
    </row>
    <row r="15" spans="1:22">
      <c r="A15" s="1" t="s">
        <v>624</v>
      </c>
      <c r="B15" s="1" t="s">
        <v>624</v>
      </c>
      <c r="C15" s="1" t="s">
        <v>8</v>
      </c>
      <c r="D15" s="1" t="s">
        <v>134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Q15" s="1" t="str">
        <f t="shared" si="0"/>
        <v>60-60</v>
      </c>
      <c r="R15" s="1" t="str">
        <f t="shared" si="1"/>
        <v>60-60</v>
      </c>
      <c r="S15" s="1" t="str">
        <f t="shared" si="1"/>
        <v>360-360</v>
      </c>
      <c r="T15" s="1">
        <f t="shared" si="4"/>
        <v>360</v>
      </c>
    </row>
    <row r="16" spans="1:22">
      <c r="A16" s="1" t="s">
        <v>625</v>
      </c>
      <c r="B16" s="1" t="s">
        <v>625</v>
      </c>
      <c r="C16" s="1" t="s">
        <v>8</v>
      </c>
      <c r="D16" s="1" t="s">
        <v>135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Q16" s="1" t="str">
        <f t="shared" si="0"/>
        <v>0-120</v>
      </c>
      <c r="R16" s="1" t="str">
        <f t="shared" si="1"/>
        <v>0-120</v>
      </c>
      <c r="S16" s="1" t="str">
        <f t="shared" si="1"/>
        <v>0-720</v>
      </c>
      <c r="T16" s="1">
        <f t="shared" si="4"/>
        <v>360</v>
      </c>
    </row>
    <row r="17" spans="1:20">
      <c r="A17" s="1" t="s">
        <v>587</v>
      </c>
      <c r="B17" s="1" t="s">
        <v>597</v>
      </c>
      <c r="C17" s="1" t="s">
        <v>8</v>
      </c>
      <c r="D17" s="1" t="s">
        <v>607</v>
      </c>
      <c r="E17" s="1">
        <v>3</v>
      </c>
      <c r="F17" s="1">
        <v>7</v>
      </c>
      <c r="G17" s="1">
        <v>7</v>
      </c>
      <c r="H17" s="1">
        <v>21</v>
      </c>
      <c r="M17" s="1" t="s">
        <v>570</v>
      </c>
      <c r="P17" s="1">
        <v>100</v>
      </c>
      <c r="Q17" s="1" t="str">
        <f t="shared" si="0"/>
        <v>3-7</v>
      </c>
      <c r="R17" s="1" t="str">
        <f t="shared" si="1"/>
        <v>31-91</v>
      </c>
      <c r="S17" s="1" t="str">
        <f t="shared" si="1"/>
        <v>186-546</v>
      </c>
      <c r="T17" s="1">
        <f>_xlfn.LET(_xlpm.a,($E17+S$3*$G17)*(1+S$2),_xlpm.b,($F17+S$3*$H17)*(1+S$2),_xlpm.a/2+_xlpm.b/2)</f>
        <v>366</v>
      </c>
    </row>
    <row r="18" spans="1:20">
      <c r="A18" s="1" t="s">
        <v>588</v>
      </c>
      <c r="B18" s="1" t="s">
        <v>598</v>
      </c>
      <c r="C18" s="1" t="s">
        <v>8</v>
      </c>
      <c r="D18" s="1" t="s">
        <v>608</v>
      </c>
      <c r="E18" s="1">
        <v>3</v>
      </c>
      <c r="F18" s="1">
        <v>7</v>
      </c>
      <c r="G18" s="1">
        <v>7</v>
      </c>
      <c r="H18" s="1">
        <v>21</v>
      </c>
      <c r="M18" s="1" t="s">
        <v>570</v>
      </c>
      <c r="P18" s="1">
        <v>100</v>
      </c>
      <c r="Q18" s="1" t="str">
        <f t="shared" si="0"/>
        <v>3-7</v>
      </c>
      <c r="R18" s="1" t="str">
        <f t="shared" si="1"/>
        <v>31-91</v>
      </c>
      <c r="S18" s="1" t="str">
        <f t="shared" si="1"/>
        <v>186-546</v>
      </c>
      <c r="T18" s="1">
        <f>_xlfn.LET(_xlpm.a,($E18+S$3*$G18)*(1+S$2),_xlpm.b,($F18+S$3*$H18)*(1+S$2),_xlpm.a/2+_xlpm.b/2)</f>
        <v>366</v>
      </c>
    </row>
    <row r="19" spans="1:20">
      <c r="A19" s="1" t="s">
        <v>589</v>
      </c>
      <c r="B19" s="1" t="s">
        <v>599</v>
      </c>
      <c r="C19" s="1" t="s">
        <v>8</v>
      </c>
      <c r="D19" s="1" t="s">
        <v>609</v>
      </c>
      <c r="E19" s="1">
        <v>3</v>
      </c>
      <c r="F19" s="1">
        <v>7</v>
      </c>
      <c r="G19" s="1">
        <v>7</v>
      </c>
      <c r="H19" s="1">
        <v>21</v>
      </c>
      <c r="M19" s="1" t="s">
        <v>570</v>
      </c>
      <c r="P19" s="1">
        <v>100</v>
      </c>
      <c r="Q19" s="1" t="str">
        <f t="shared" si="0"/>
        <v>3-7</v>
      </c>
      <c r="R19" s="1" t="str">
        <f t="shared" si="1"/>
        <v>31-91</v>
      </c>
      <c r="S19" s="1" t="str">
        <f t="shared" si="1"/>
        <v>186-546</v>
      </c>
      <c r="T19" s="1">
        <f>_xlfn.LET(_xlpm.a,($E19+S$3*$G19)*(1+S$2),_xlpm.b,($F19+S$3*$H19)*(1+S$2),_xlpm.a/2+_xlpm.b/2)</f>
        <v>366</v>
      </c>
    </row>
    <row r="20" spans="1:20">
      <c r="A20" s="1" t="s">
        <v>590</v>
      </c>
      <c r="B20" s="1" t="s">
        <v>604</v>
      </c>
      <c r="C20" s="1" t="s">
        <v>8</v>
      </c>
      <c r="D20" s="1" t="s">
        <v>610</v>
      </c>
      <c r="E20" s="1">
        <v>3</v>
      </c>
      <c r="F20" s="1">
        <v>7</v>
      </c>
      <c r="G20" s="1">
        <v>7</v>
      </c>
      <c r="H20" s="1">
        <v>21</v>
      </c>
      <c r="M20" s="1" t="s">
        <v>570</v>
      </c>
      <c r="P20" s="1">
        <v>100</v>
      </c>
      <c r="Q20" s="1" t="str">
        <f t="shared" si="0"/>
        <v>3-7</v>
      </c>
      <c r="R20" s="1" t="str">
        <f t="shared" si="1"/>
        <v>31-91</v>
      </c>
      <c r="S20" s="1" t="str">
        <f t="shared" si="1"/>
        <v>186-546</v>
      </c>
      <c r="T20" s="1">
        <f t="shared" ref="T20:T21" si="5">_xlfn.LET(_xlpm.a,($E20+S$3*$G20)*(1+S$2),_xlpm.b,($F20+S$3*$H20)*(1+S$2),_xlpm.a/2+_xlpm.b/2)</f>
        <v>366</v>
      </c>
    </row>
    <row r="21" spans="1:20">
      <c r="A21" s="1" t="s">
        <v>591</v>
      </c>
      <c r="B21" s="1" t="s">
        <v>600</v>
      </c>
      <c r="C21" s="1" t="s">
        <v>8</v>
      </c>
      <c r="D21" s="1" t="s">
        <v>611</v>
      </c>
      <c r="E21" s="1">
        <v>3</v>
      </c>
      <c r="F21" s="1">
        <v>7</v>
      </c>
      <c r="G21" s="1">
        <v>7</v>
      </c>
      <c r="H21" s="1">
        <v>21</v>
      </c>
      <c r="M21" s="1" t="s">
        <v>570</v>
      </c>
      <c r="P21" s="1">
        <v>100</v>
      </c>
      <c r="Q21" s="1" t="str">
        <f t="shared" si="0"/>
        <v>3-7</v>
      </c>
      <c r="R21" s="1" t="str">
        <f t="shared" si="1"/>
        <v>31-91</v>
      </c>
      <c r="S21" s="1" t="str">
        <f t="shared" si="1"/>
        <v>186-546</v>
      </c>
      <c r="T21" s="1">
        <f t="shared" si="5"/>
        <v>366</v>
      </c>
    </row>
    <row r="22" spans="1:20">
      <c r="A22" s="1" t="s">
        <v>592</v>
      </c>
      <c r="B22" s="1" t="s">
        <v>601</v>
      </c>
      <c r="C22" s="1" t="s">
        <v>8</v>
      </c>
      <c r="D22" s="1" t="s">
        <v>612</v>
      </c>
      <c r="E22" s="1">
        <v>3</v>
      </c>
      <c r="F22" s="1">
        <v>7</v>
      </c>
      <c r="G22" s="1">
        <v>7</v>
      </c>
      <c r="H22" s="1">
        <v>21</v>
      </c>
      <c r="M22" s="1" t="s">
        <v>570</v>
      </c>
      <c r="P22" s="1">
        <v>100</v>
      </c>
      <c r="Q22" s="1" t="str">
        <f t="shared" si="0"/>
        <v>3-7</v>
      </c>
      <c r="R22" s="1" t="str">
        <f t="shared" si="1"/>
        <v>31-91</v>
      </c>
      <c r="S22" s="1" t="str">
        <f t="shared" si="1"/>
        <v>186-546</v>
      </c>
      <c r="T22" s="1">
        <f>_xlfn.LET(_xlpm.a,($E22+S$3*$G22)*(1+S$2),_xlpm.b,($F22+S$3*$H22)*(1+S$2),_xlpm.a/2+_xlpm.b/2)</f>
        <v>366</v>
      </c>
    </row>
    <row r="23" spans="1:20">
      <c r="A23" s="1" t="s">
        <v>593</v>
      </c>
      <c r="B23" s="1" t="s">
        <v>602</v>
      </c>
      <c r="C23" s="1" t="s">
        <v>8</v>
      </c>
      <c r="D23" s="1" t="s">
        <v>613</v>
      </c>
      <c r="E23" s="1">
        <v>3</v>
      </c>
      <c r="F23" s="1">
        <v>7</v>
      </c>
      <c r="G23" s="1">
        <v>7</v>
      </c>
      <c r="H23" s="1">
        <v>21</v>
      </c>
      <c r="M23" s="1" t="s">
        <v>570</v>
      </c>
      <c r="P23" s="1">
        <v>100</v>
      </c>
      <c r="Q23" s="1" t="str">
        <f t="shared" si="0"/>
        <v>3-7</v>
      </c>
      <c r="R23" s="1" t="str">
        <f t="shared" si="1"/>
        <v>31-91</v>
      </c>
      <c r="S23" s="1" t="str">
        <f t="shared" si="1"/>
        <v>186-546</v>
      </c>
      <c r="T23" s="1">
        <f>_xlfn.LET(_xlpm.a,($E23+S$3*$G23)*(1+S$2),_xlpm.b,($F23+S$3*$H23)*(1+S$2),_xlpm.a/2+_xlpm.b/2)</f>
        <v>366</v>
      </c>
    </row>
    <row r="24" spans="1:20">
      <c r="A24" s="1" t="s">
        <v>594</v>
      </c>
      <c r="B24" s="1" t="s">
        <v>603</v>
      </c>
      <c r="C24" s="1" t="s">
        <v>8</v>
      </c>
      <c r="D24" s="1" t="s">
        <v>614</v>
      </c>
      <c r="E24" s="1">
        <v>3</v>
      </c>
      <c r="F24" s="1">
        <v>7</v>
      </c>
      <c r="G24" s="1">
        <v>7</v>
      </c>
      <c r="H24" s="1">
        <v>21</v>
      </c>
      <c r="M24" s="1" t="s">
        <v>570</v>
      </c>
      <c r="P24" s="1">
        <v>100</v>
      </c>
      <c r="Q24" s="1" t="str">
        <f t="shared" si="0"/>
        <v>3-7</v>
      </c>
      <c r="R24" s="1" t="str">
        <f t="shared" si="1"/>
        <v>31-91</v>
      </c>
      <c r="S24" s="1" t="str">
        <f t="shared" si="1"/>
        <v>186-546</v>
      </c>
      <c r="T24" s="1">
        <f>_xlfn.LET(_xlpm.a,($E24+S$3*$G24)*(1+S$2),_xlpm.b,($F24+S$3*$H24)*(1+S$2),_xlpm.a/2+_xlpm.b/2)</f>
        <v>366</v>
      </c>
    </row>
    <row r="25" spans="1:20">
      <c r="A25" s="1" t="s">
        <v>595</v>
      </c>
      <c r="B25" s="1" t="s">
        <v>605</v>
      </c>
      <c r="C25" s="1" t="s">
        <v>8</v>
      </c>
      <c r="D25" s="1" t="s">
        <v>615</v>
      </c>
      <c r="E25" s="1">
        <v>3</v>
      </c>
      <c r="F25" s="1">
        <v>7</v>
      </c>
      <c r="G25" s="1">
        <v>7</v>
      </c>
      <c r="H25" s="1">
        <v>21</v>
      </c>
      <c r="M25" s="1" t="s">
        <v>570</v>
      </c>
      <c r="P25" s="1">
        <v>100</v>
      </c>
      <c r="Q25" s="1" t="str">
        <f t="shared" si="0"/>
        <v>3-7</v>
      </c>
      <c r="R25" s="1" t="str">
        <f t="shared" si="1"/>
        <v>31-91</v>
      </c>
      <c r="S25" s="1" t="str">
        <f t="shared" si="1"/>
        <v>186-546</v>
      </c>
      <c r="T25" s="1">
        <f t="shared" ref="T25:T26" si="6">_xlfn.LET(_xlpm.a,($E25+S$3*$G25)*(1+S$2),_xlpm.b,($F25+S$3*$H25)*(1+S$2),_xlpm.a/2+_xlpm.b/2)</f>
        <v>366</v>
      </c>
    </row>
    <row r="26" spans="1:20">
      <c r="A26" s="1" t="s">
        <v>596</v>
      </c>
      <c r="B26" s="1" t="s">
        <v>606</v>
      </c>
      <c r="C26" s="1" t="s">
        <v>8</v>
      </c>
      <c r="D26" s="1" t="s">
        <v>616</v>
      </c>
      <c r="E26" s="1">
        <v>3</v>
      </c>
      <c r="F26" s="1">
        <v>7</v>
      </c>
      <c r="G26" s="1">
        <v>7</v>
      </c>
      <c r="H26" s="1">
        <v>21</v>
      </c>
      <c r="M26" s="1" t="s">
        <v>570</v>
      </c>
      <c r="P26" s="1">
        <v>100</v>
      </c>
      <c r="Q26" s="1" t="str">
        <f t="shared" si="0"/>
        <v>3-7</v>
      </c>
      <c r="R26" s="1" t="str">
        <f t="shared" si="1"/>
        <v>31-91</v>
      </c>
      <c r="S26" s="1" t="str">
        <f t="shared" si="1"/>
        <v>186-546</v>
      </c>
      <c r="T26" s="1">
        <f t="shared" si="6"/>
        <v>366</v>
      </c>
    </row>
    <row r="27" spans="1:20">
      <c r="A27" s="1" t="s">
        <v>15</v>
      </c>
      <c r="B27" s="1" t="s">
        <v>405</v>
      </c>
      <c r="C27" s="1" t="s">
        <v>8</v>
      </c>
      <c r="D27" s="1" t="s">
        <v>142</v>
      </c>
      <c r="E27" s="1">
        <v>10</v>
      </c>
      <c r="F27" s="1">
        <v>50</v>
      </c>
      <c r="G27" s="1">
        <v>15</v>
      </c>
      <c r="H27" s="1">
        <v>75</v>
      </c>
      <c r="M27" s="1" t="s">
        <v>581</v>
      </c>
      <c r="P27" s="1">
        <v>100</v>
      </c>
      <c r="Q27" s="1" t="str">
        <f t="shared" si="0"/>
        <v>10-50</v>
      </c>
      <c r="R27" s="1" t="str">
        <f t="shared" si="1"/>
        <v>70-350</v>
      </c>
      <c r="S27" s="1" t="str">
        <f t="shared" si="1"/>
        <v>420-2100</v>
      </c>
      <c r="T27" s="1">
        <f t="shared" si="3"/>
        <v>1260</v>
      </c>
    </row>
    <row r="28" spans="1:20">
      <c r="A28" s="1" t="s">
        <v>16</v>
      </c>
      <c r="B28" s="1" t="s">
        <v>399</v>
      </c>
      <c r="C28" s="1" t="s">
        <v>8</v>
      </c>
      <c r="D28" s="1" t="s">
        <v>143</v>
      </c>
      <c r="E28" s="1">
        <v>10</v>
      </c>
      <c r="F28" s="1">
        <v>50</v>
      </c>
      <c r="G28" s="1">
        <v>15</v>
      </c>
      <c r="H28" s="1">
        <v>75</v>
      </c>
      <c r="M28" s="1" t="s">
        <v>581</v>
      </c>
      <c r="P28" s="1">
        <v>100</v>
      </c>
      <c r="Q28" s="1" t="str">
        <f t="shared" ref="Q28:S59" si="7">_xlfn.LET(_xlpm.a,($E28+Q$3*$G28)*(1+Q$2),_xlpm.b,($F28+Q$3*$H28)*(1+Q$2),_xlpm.a&amp;"-"&amp;_xlpm.b)</f>
        <v>10-50</v>
      </c>
      <c r="R28" s="1" t="str">
        <f t="shared" si="1"/>
        <v>70-350</v>
      </c>
      <c r="S28" s="1" t="str">
        <f t="shared" si="1"/>
        <v>420-2100</v>
      </c>
      <c r="T28" s="1">
        <f t="shared" si="3"/>
        <v>1260</v>
      </c>
    </row>
    <row r="29" spans="1:20">
      <c r="A29" s="1" t="s">
        <v>17</v>
      </c>
      <c r="B29" s="1" t="s">
        <v>406</v>
      </c>
      <c r="C29" s="1" t="s">
        <v>8</v>
      </c>
      <c r="D29" s="1" t="s">
        <v>144</v>
      </c>
      <c r="E29" s="1">
        <v>10</v>
      </c>
      <c r="F29" s="1">
        <v>50</v>
      </c>
      <c r="G29" s="1">
        <v>15</v>
      </c>
      <c r="H29" s="1">
        <v>75</v>
      </c>
      <c r="M29" s="1" t="s">
        <v>581</v>
      </c>
      <c r="P29" s="1">
        <v>100</v>
      </c>
      <c r="Q29" s="1" t="str">
        <f t="shared" si="7"/>
        <v>10-50</v>
      </c>
      <c r="R29" s="1" t="str">
        <f t="shared" si="1"/>
        <v>70-350</v>
      </c>
      <c r="S29" s="1" t="str">
        <f t="shared" si="1"/>
        <v>420-2100</v>
      </c>
      <c r="T29" s="1">
        <f t="shared" si="3"/>
        <v>1260</v>
      </c>
    </row>
    <row r="30" spans="1:20">
      <c r="A30" s="1" t="s">
        <v>18</v>
      </c>
      <c r="B30" s="1" t="s">
        <v>407</v>
      </c>
      <c r="C30" s="1" t="s">
        <v>8</v>
      </c>
      <c r="D30" s="1" t="s">
        <v>145</v>
      </c>
      <c r="E30" s="1">
        <v>10</v>
      </c>
      <c r="F30" s="1">
        <v>50</v>
      </c>
      <c r="G30" s="1">
        <v>15</v>
      </c>
      <c r="H30" s="1">
        <v>75</v>
      </c>
      <c r="M30" s="1" t="s">
        <v>581</v>
      </c>
      <c r="P30" s="1">
        <v>100</v>
      </c>
      <c r="Q30" s="1" t="str">
        <f t="shared" si="7"/>
        <v>10-50</v>
      </c>
      <c r="R30" s="1" t="str">
        <f t="shared" si="1"/>
        <v>70-350</v>
      </c>
      <c r="S30" s="1" t="str">
        <f t="shared" si="1"/>
        <v>420-2100</v>
      </c>
      <c r="T30" s="1">
        <f t="shared" si="3"/>
        <v>1260</v>
      </c>
    </row>
    <row r="31" spans="1:20">
      <c r="A31" s="1" t="s">
        <v>19</v>
      </c>
      <c r="B31" s="1" t="s">
        <v>408</v>
      </c>
      <c r="C31" s="1" t="s">
        <v>8</v>
      </c>
      <c r="D31" s="1" t="s">
        <v>146</v>
      </c>
      <c r="E31" s="1">
        <v>10</v>
      </c>
      <c r="F31" s="1">
        <v>50</v>
      </c>
      <c r="G31" s="1">
        <v>15</v>
      </c>
      <c r="H31" s="1">
        <v>75</v>
      </c>
      <c r="M31" s="1" t="s">
        <v>581</v>
      </c>
      <c r="P31" s="1">
        <v>100</v>
      </c>
      <c r="Q31" s="1" t="str">
        <f t="shared" si="7"/>
        <v>10-50</v>
      </c>
      <c r="R31" s="1" t="str">
        <f t="shared" si="1"/>
        <v>70-350</v>
      </c>
      <c r="S31" s="1" t="str">
        <f t="shared" si="1"/>
        <v>420-2100</v>
      </c>
      <c r="T31" s="1">
        <f t="shared" si="3"/>
        <v>1260</v>
      </c>
    </row>
    <row r="32" spans="1:20">
      <c r="A32" s="1" t="s">
        <v>580</v>
      </c>
      <c r="B32" s="1" t="s">
        <v>580</v>
      </c>
      <c r="C32" s="1" t="s">
        <v>8</v>
      </c>
      <c r="D32" s="1" t="s">
        <v>142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Q32" s="1" t="str">
        <f>_xlfn.LET(_xlpm.a,($E32+Q$3*$G32)*(1+Q$2),_xlpm.b,($F32+Q$3*$H32)*(1+Q$2),_xlpm.a&amp;"-"&amp;_xlpm.b)</f>
        <v>100-100</v>
      </c>
      <c r="R32" s="1" t="str">
        <f>_xlfn.LET(_xlpm.a,($E32+R$3*$G32)*(1+R$2),_xlpm.b,($F32+R$3*$H32)*(1+R$2),_xlpm.a&amp;"-"&amp;_xlpm.b)</f>
        <v>100-100</v>
      </c>
      <c r="S32" s="1" t="str">
        <f>_xlfn.LET(_xlpm.a,($E32+S$3*$G32)*(1+S$2),_xlpm.b,($F32+S$3*$H32)*(1+S$2),_xlpm.a&amp;"-"&amp;_xlpm.b)</f>
        <v>600-600</v>
      </c>
      <c r="T32" s="1">
        <f>_xlfn.LET(_xlpm.a,($E32+S$3*$G32)*(1+S$2),_xlpm.b,($F32+S$3*$H32)*(1+S$2),_xlpm.a/2+_xlpm.b/2)</f>
        <v>600</v>
      </c>
    </row>
    <row r="33" spans="1:20">
      <c r="A33" s="1" t="s">
        <v>633</v>
      </c>
      <c r="B33" s="1" t="s">
        <v>633</v>
      </c>
      <c r="C33" s="1" t="s">
        <v>8</v>
      </c>
      <c r="D33" s="1" t="s">
        <v>143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</row>
    <row r="34" spans="1:20">
      <c r="A34" s="1" t="s">
        <v>634</v>
      </c>
      <c r="B34" s="1" t="s">
        <v>634</v>
      </c>
      <c r="C34" s="1" t="s">
        <v>8</v>
      </c>
      <c r="D34" s="1" t="s">
        <v>144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</row>
    <row r="35" spans="1:20">
      <c r="A35" s="1" t="s">
        <v>635</v>
      </c>
      <c r="B35" s="1" t="s">
        <v>635</v>
      </c>
      <c r="C35" s="1" t="s">
        <v>8</v>
      </c>
      <c r="D35" s="1" t="s">
        <v>145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</row>
    <row r="36" spans="1:20">
      <c r="A36" s="1" t="s">
        <v>636</v>
      </c>
      <c r="B36" s="1" t="s">
        <v>636</v>
      </c>
      <c r="C36" s="1" t="s">
        <v>8</v>
      </c>
      <c r="D36" s="1" t="s">
        <v>146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</row>
    <row r="37" spans="1:20">
      <c r="A37" s="1" t="s">
        <v>20</v>
      </c>
      <c r="B37" s="1" t="s">
        <v>409</v>
      </c>
      <c r="C37" s="1" t="s">
        <v>8</v>
      </c>
      <c r="D37" s="1" t="s">
        <v>147</v>
      </c>
      <c r="E37" s="1">
        <v>10</v>
      </c>
      <c r="F37" s="1">
        <v>50</v>
      </c>
      <c r="G37" s="1">
        <v>15</v>
      </c>
      <c r="H37" s="1">
        <v>75</v>
      </c>
      <c r="M37" s="1" t="s">
        <v>547</v>
      </c>
      <c r="P37" s="1">
        <v>120</v>
      </c>
      <c r="Q37" s="1" t="str">
        <f t="shared" si="7"/>
        <v>10-50</v>
      </c>
      <c r="R37" s="1" t="str">
        <f t="shared" si="1"/>
        <v>70-350</v>
      </c>
      <c r="S37" s="1" t="str">
        <f t="shared" si="1"/>
        <v>420-2100</v>
      </c>
      <c r="T37" s="1">
        <f t="shared" si="3"/>
        <v>1260</v>
      </c>
    </row>
    <row r="38" spans="1:20">
      <c r="A38" s="1" t="s">
        <v>21</v>
      </c>
      <c r="B38" s="1" t="s">
        <v>410</v>
      </c>
      <c r="C38" s="1" t="s">
        <v>8</v>
      </c>
      <c r="D38" s="1" t="s">
        <v>148</v>
      </c>
      <c r="E38" s="1">
        <v>10</v>
      </c>
      <c r="F38" s="1">
        <v>50</v>
      </c>
      <c r="G38" s="1">
        <v>15</v>
      </c>
      <c r="H38" s="1">
        <v>75</v>
      </c>
      <c r="M38" s="1" t="s">
        <v>547</v>
      </c>
      <c r="P38" s="1">
        <v>120</v>
      </c>
      <c r="Q38" s="1" t="str">
        <f t="shared" si="7"/>
        <v>10-50</v>
      </c>
      <c r="R38" s="1" t="str">
        <f t="shared" si="1"/>
        <v>70-350</v>
      </c>
      <c r="S38" s="1" t="str">
        <f t="shared" si="1"/>
        <v>420-2100</v>
      </c>
      <c r="T38" s="1">
        <f t="shared" si="3"/>
        <v>1260</v>
      </c>
    </row>
    <row r="39" spans="1:20">
      <c r="A39" s="1" t="s">
        <v>22</v>
      </c>
      <c r="B39" s="1" t="s">
        <v>412</v>
      </c>
      <c r="C39" s="1" t="s">
        <v>8</v>
      </c>
      <c r="D39" s="1" t="s">
        <v>149</v>
      </c>
      <c r="E39" s="1">
        <v>10</v>
      </c>
      <c r="F39" s="1">
        <v>50</v>
      </c>
      <c r="G39" s="1">
        <v>15</v>
      </c>
      <c r="H39" s="1">
        <v>75</v>
      </c>
      <c r="M39" s="1" t="s">
        <v>547</v>
      </c>
      <c r="P39" s="1">
        <v>120</v>
      </c>
      <c r="Q39" s="1" t="str">
        <f t="shared" si="7"/>
        <v>10-50</v>
      </c>
      <c r="R39" s="1" t="str">
        <f t="shared" si="1"/>
        <v>70-350</v>
      </c>
      <c r="S39" s="1" t="str">
        <f t="shared" si="1"/>
        <v>420-2100</v>
      </c>
      <c r="T39" s="1">
        <f t="shared" si="3"/>
        <v>1260</v>
      </c>
    </row>
    <row r="40" spans="1:20">
      <c r="A40" s="1" t="s">
        <v>23</v>
      </c>
      <c r="B40" s="1" t="s">
        <v>411</v>
      </c>
      <c r="C40" s="1" t="s">
        <v>8</v>
      </c>
      <c r="D40" s="1" t="s">
        <v>150</v>
      </c>
      <c r="E40" s="1">
        <v>10</v>
      </c>
      <c r="F40" s="1">
        <v>50</v>
      </c>
      <c r="G40" s="1">
        <v>15</v>
      </c>
      <c r="H40" s="1">
        <v>75</v>
      </c>
      <c r="M40" s="1" t="s">
        <v>547</v>
      </c>
      <c r="P40" s="1">
        <v>120</v>
      </c>
      <c r="Q40" s="1" t="str">
        <f t="shared" si="7"/>
        <v>10-50</v>
      </c>
      <c r="R40" s="1" t="str">
        <f t="shared" si="7"/>
        <v>70-350</v>
      </c>
      <c r="S40" s="1" t="str">
        <f t="shared" si="7"/>
        <v>420-2100</v>
      </c>
      <c r="T40" s="1">
        <f t="shared" si="3"/>
        <v>1260</v>
      </c>
    </row>
    <row r="41" spans="1:20">
      <c r="A41" s="1" t="s">
        <v>24</v>
      </c>
      <c r="B41" s="1" t="s">
        <v>413</v>
      </c>
      <c r="C41" s="1" t="s">
        <v>8</v>
      </c>
      <c r="D41" s="1" t="s">
        <v>151</v>
      </c>
      <c r="E41" s="1">
        <v>10</v>
      </c>
      <c r="F41" s="1">
        <v>50</v>
      </c>
      <c r="G41" s="1">
        <v>15</v>
      </c>
      <c r="H41" s="1">
        <v>75</v>
      </c>
      <c r="M41" s="1" t="s">
        <v>547</v>
      </c>
      <c r="P41" s="1">
        <v>120</v>
      </c>
      <c r="Q41" s="1" t="str">
        <f t="shared" si="7"/>
        <v>10-50</v>
      </c>
      <c r="R41" s="1" t="str">
        <f t="shared" si="7"/>
        <v>70-350</v>
      </c>
      <c r="S41" s="1" t="str">
        <f t="shared" si="7"/>
        <v>420-2100</v>
      </c>
      <c r="T41" s="1">
        <f t="shared" si="3"/>
        <v>1260</v>
      </c>
    </row>
    <row r="42" spans="1:20">
      <c r="A42" s="1" t="s">
        <v>25</v>
      </c>
      <c r="B42" s="1" t="s">
        <v>414</v>
      </c>
      <c r="C42" s="1" t="s">
        <v>8</v>
      </c>
      <c r="D42" s="1" t="s">
        <v>152</v>
      </c>
      <c r="E42" s="1">
        <v>0.7</v>
      </c>
      <c r="F42" s="1">
        <v>2</v>
      </c>
      <c r="G42" s="1">
        <v>1</v>
      </c>
      <c r="H42" s="1">
        <v>3</v>
      </c>
      <c r="J42" s="1">
        <v>0.15</v>
      </c>
      <c r="M42" s="1" t="s">
        <v>582</v>
      </c>
      <c r="P42" s="1">
        <v>100</v>
      </c>
      <c r="Q42" s="1" t="str">
        <f t="shared" si="7"/>
        <v>0.7-2</v>
      </c>
      <c r="R42" s="1" t="str">
        <f t="shared" si="7"/>
        <v>4.7-14</v>
      </c>
      <c r="S42" s="1" t="str">
        <f t="shared" si="7"/>
        <v>28.2-84</v>
      </c>
      <c r="T42" s="1">
        <f t="shared" si="3"/>
        <v>56.1</v>
      </c>
    </row>
    <row r="43" spans="1:20">
      <c r="A43" s="1" t="s">
        <v>26</v>
      </c>
      <c r="B43" s="1" t="s">
        <v>415</v>
      </c>
      <c r="C43" s="1" t="s">
        <v>8</v>
      </c>
      <c r="D43" s="1" t="s">
        <v>153</v>
      </c>
      <c r="E43" s="1">
        <v>0.7</v>
      </c>
      <c r="F43" s="1">
        <v>2</v>
      </c>
      <c r="G43" s="1">
        <v>1</v>
      </c>
      <c r="H43" s="1">
        <v>3</v>
      </c>
      <c r="J43" s="1">
        <v>0.15</v>
      </c>
      <c r="M43" s="1" t="s">
        <v>582</v>
      </c>
      <c r="P43" s="1">
        <v>100</v>
      </c>
      <c r="Q43" s="1" t="str">
        <f t="shared" si="7"/>
        <v>0.7-2</v>
      </c>
      <c r="R43" s="1" t="str">
        <f t="shared" si="7"/>
        <v>4.7-14</v>
      </c>
      <c r="S43" s="1" t="str">
        <f t="shared" si="7"/>
        <v>28.2-84</v>
      </c>
      <c r="T43" s="1">
        <f t="shared" si="3"/>
        <v>56.1</v>
      </c>
    </row>
    <row r="44" spans="1:20">
      <c r="A44" s="1" t="s">
        <v>27</v>
      </c>
      <c r="B44" s="1" t="s">
        <v>416</v>
      </c>
      <c r="C44" s="1" t="s">
        <v>8</v>
      </c>
      <c r="D44" s="1" t="s">
        <v>154</v>
      </c>
      <c r="E44" s="1">
        <v>0.7</v>
      </c>
      <c r="F44" s="1">
        <v>2</v>
      </c>
      <c r="G44" s="1">
        <v>1</v>
      </c>
      <c r="H44" s="1">
        <v>3</v>
      </c>
      <c r="J44" s="1">
        <v>0.15</v>
      </c>
      <c r="M44" s="1" t="s">
        <v>582</v>
      </c>
      <c r="P44" s="1">
        <v>100</v>
      </c>
      <c r="Q44" s="1" t="str">
        <f t="shared" si="7"/>
        <v>0.7-2</v>
      </c>
      <c r="R44" s="1" t="str">
        <f t="shared" si="7"/>
        <v>4.7-14</v>
      </c>
      <c r="S44" s="1" t="str">
        <f t="shared" si="7"/>
        <v>28.2-84</v>
      </c>
      <c r="T44" s="1">
        <f t="shared" si="3"/>
        <v>56.1</v>
      </c>
    </row>
    <row r="45" spans="1:20">
      <c r="A45" s="1" t="s">
        <v>28</v>
      </c>
      <c r="B45" s="1" t="s">
        <v>417</v>
      </c>
      <c r="C45" s="1" t="s">
        <v>8</v>
      </c>
      <c r="D45" s="1" t="s">
        <v>155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582</v>
      </c>
      <c r="P45" s="1">
        <v>100</v>
      </c>
      <c r="Q45" s="1" t="str">
        <f t="shared" si="7"/>
        <v>0.7-2</v>
      </c>
      <c r="R45" s="1" t="str">
        <f t="shared" si="7"/>
        <v>4.7-14</v>
      </c>
      <c r="S45" s="1" t="str">
        <f t="shared" si="7"/>
        <v>28.2-84</v>
      </c>
      <c r="T45" s="1">
        <f t="shared" si="3"/>
        <v>56.1</v>
      </c>
    </row>
    <row r="46" spans="1:20">
      <c r="A46" s="1" t="s">
        <v>29</v>
      </c>
      <c r="B46" s="1" t="s">
        <v>418</v>
      </c>
      <c r="C46" s="1" t="s">
        <v>8</v>
      </c>
      <c r="D46" s="1" t="s">
        <v>156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582</v>
      </c>
      <c r="P46" s="1">
        <v>100</v>
      </c>
      <c r="Q46" s="1" t="str">
        <f t="shared" si="7"/>
        <v>0.7-2</v>
      </c>
      <c r="R46" s="1" t="str">
        <f t="shared" si="7"/>
        <v>4.7-14</v>
      </c>
      <c r="S46" s="1" t="str">
        <f t="shared" si="7"/>
        <v>28.2-84</v>
      </c>
      <c r="T46" s="1">
        <f t="shared" si="3"/>
        <v>56.1</v>
      </c>
    </row>
    <row r="47" spans="1:20">
      <c r="A47" s="1" t="s">
        <v>628</v>
      </c>
      <c r="B47" s="1" t="s">
        <v>628</v>
      </c>
      <c r="C47" s="1" t="s">
        <v>8</v>
      </c>
      <c r="D47" s="1" t="s">
        <v>152</v>
      </c>
      <c r="E47" s="1">
        <v>7</v>
      </c>
      <c r="F47" s="1">
        <v>20</v>
      </c>
      <c r="G47" s="1">
        <v>0</v>
      </c>
      <c r="H47" s="1">
        <v>0</v>
      </c>
      <c r="I47" s="1">
        <v>0</v>
      </c>
      <c r="Q47" s="1" t="str">
        <f t="shared" si="7"/>
        <v>7-20</v>
      </c>
      <c r="R47" s="1" t="str">
        <f t="shared" si="7"/>
        <v>7-20</v>
      </c>
      <c r="S47" s="1" t="str">
        <f t="shared" si="7"/>
        <v>42-120</v>
      </c>
      <c r="T47" s="1">
        <f t="shared" ref="T47:T51" si="8">_xlfn.LET(_xlpm.a,($E47+S$3*$G47)*(1+S$2),_xlpm.b,($F47+S$3*$H47)*(1+S$2),_xlpm.a/2+_xlpm.b/2)</f>
        <v>81</v>
      </c>
    </row>
    <row r="48" spans="1:20">
      <c r="A48" s="1" t="s">
        <v>629</v>
      </c>
      <c r="B48" s="1" t="s">
        <v>629</v>
      </c>
      <c r="C48" s="1" t="s">
        <v>8</v>
      </c>
      <c r="D48" s="1" t="s">
        <v>153</v>
      </c>
      <c r="E48" s="1">
        <v>7</v>
      </c>
      <c r="F48" s="1">
        <v>20</v>
      </c>
      <c r="G48" s="1">
        <v>0</v>
      </c>
      <c r="H48" s="1">
        <v>0</v>
      </c>
      <c r="I48" s="1">
        <v>0</v>
      </c>
      <c r="Q48" s="1" t="str">
        <f t="shared" si="7"/>
        <v>7-20</v>
      </c>
      <c r="R48" s="1" t="str">
        <f t="shared" si="7"/>
        <v>7-20</v>
      </c>
      <c r="S48" s="1" t="str">
        <f t="shared" si="7"/>
        <v>42-120</v>
      </c>
      <c r="T48" s="1">
        <f t="shared" si="8"/>
        <v>81</v>
      </c>
    </row>
    <row r="49" spans="1:20">
      <c r="A49" s="1" t="s">
        <v>630</v>
      </c>
      <c r="B49" s="1" t="s">
        <v>630</v>
      </c>
      <c r="C49" s="1" t="s">
        <v>8</v>
      </c>
      <c r="D49" s="1" t="s">
        <v>154</v>
      </c>
      <c r="E49" s="1">
        <v>7</v>
      </c>
      <c r="F49" s="1">
        <v>20</v>
      </c>
      <c r="G49" s="1">
        <v>0</v>
      </c>
      <c r="H49" s="1">
        <v>0</v>
      </c>
      <c r="I49" s="1">
        <v>0</v>
      </c>
      <c r="Q49" s="1" t="str">
        <f t="shared" si="7"/>
        <v>7-20</v>
      </c>
      <c r="R49" s="1" t="str">
        <f t="shared" si="7"/>
        <v>7-20</v>
      </c>
      <c r="S49" s="1" t="str">
        <f t="shared" si="7"/>
        <v>42-120</v>
      </c>
      <c r="T49" s="1">
        <f t="shared" si="8"/>
        <v>81</v>
      </c>
    </row>
    <row r="50" spans="1:20">
      <c r="A50" s="1" t="s">
        <v>631</v>
      </c>
      <c r="B50" s="1" t="s">
        <v>631</v>
      </c>
      <c r="C50" s="1" t="s">
        <v>8</v>
      </c>
      <c r="D50" s="1" t="s">
        <v>155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Q50" s="1" t="str">
        <f t="shared" si="7"/>
        <v>7-20</v>
      </c>
      <c r="R50" s="1" t="str">
        <f t="shared" si="7"/>
        <v>7-20</v>
      </c>
      <c r="S50" s="1" t="str">
        <f t="shared" si="7"/>
        <v>42-120</v>
      </c>
      <c r="T50" s="1">
        <f t="shared" si="8"/>
        <v>81</v>
      </c>
    </row>
    <row r="51" spans="1:20">
      <c r="A51" s="1" t="s">
        <v>632</v>
      </c>
      <c r="B51" s="1" t="s">
        <v>632</v>
      </c>
      <c r="C51" s="1" t="s">
        <v>8</v>
      </c>
      <c r="D51" s="1" t="s">
        <v>156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Q51" s="1" t="str">
        <f t="shared" si="7"/>
        <v>7-20</v>
      </c>
      <c r="R51" s="1" t="str">
        <f t="shared" si="7"/>
        <v>7-20</v>
      </c>
      <c r="S51" s="1" t="str">
        <f t="shared" si="7"/>
        <v>42-120</v>
      </c>
      <c r="T51" s="1">
        <f t="shared" si="8"/>
        <v>81</v>
      </c>
    </row>
    <row r="52" spans="1:20">
      <c r="A52" s="1" t="s">
        <v>285</v>
      </c>
      <c r="B52" s="1" t="s">
        <v>419</v>
      </c>
      <c r="C52" s="1" t="s">
        <v>8</v>
      </c>
      <c r="D52" s="1" t="s">
        <v>280</v>
      </c>
      <c r="E52" s="1">
        <f>E7*0.1</f>
        <v>0.30000000000000004</v>
      </c>
      <c r="F52" s="1">
        <f>F7*0.15</f>
        <v>1.05</v>
      </c>
      <c r="G52" s="1">
        <f>G7*0.1</f>
        <v>0.70000000000000007</v>
      </c>
      <c r="H52" s="1">
        <f>H7*0.15</f>
        <v>3.15</v>
      </c>
      <c r="M52" s="1" t="s">
        <v>582</v>
      </c>
      <c r="P52" s="1">
        <v>100</v>
      </c>
      <c r="Q52" s="1" t="str">
        <f t="shared" si="7"/>
        <v>0.3-1.05</v>
      </c>
      <c r="R52" s="1" t="str">
        <f t="shared" si="7"/>
        <v>3.1-13.65</v>
      </c>
      <c r="S52" s="1" t="str">
        <f t="shared" si="7"/>
        <v>18.6-81.9</v>
      </c>
      <c r="T52" s="1">
        <f t="shared" ref="T52" si="9">_xlfn.LET(_xlpm.a,($E52+S$3*$G52)*(1+S$2),_xlpm.b,($F52+S$3*$H52)*(1+S$2),_xlpm.a/2+_xlpm.b/2)</f>
        <v>50.25</v>
      </c>
    </row>
    <row r="53" spans="1:20">
      <c r="A53" s="1" t="s">
        <v>286</v>
      </c>
      <c r="B53" s="1" t="s">
        <v>420</v>
      </c>
      <c r="C53" s="1" t="s">
        <v>8</v>
      </c>
      <c r="D53" s="1" t="s">
        <v>281</v>
      </c>
      <c r="E53" s="1">
        <f>E8*0.1</f>
        <v>0.4</v>
      </c>
      <c r="F53" s="1">
        <f>F8*0.15</f>
        <v>0.89999999999999991</v>
      </c>
      <c r="G53" s="1">
        <f>G8*0.1</f>
        <v>1.2000000000000002</v>
      </c>
      <c r="H53" s="1">
        <f>H8*0.15</f>
        <v>2.4</v>
      </c>
      <c r="M53" s="1" t="s">
        <v>582</v>
      </c>
      <c r="P53" s="1">
        <v>100</v>
      </c>
      <c r="Q53" s="1" t="str">
        <f t="shared" si="7"/>
        <v>0.4-0.9</v>
      </c>
      <c r="R53" s="1" t="str">
        <f t="shared" si="7"/>
        <v>5.2-10.5</v>
      </c>
      <c r="S53" s="1" t="str">
        <f t="shared" si="7"/>
        <v>31.2-63</v>
      </c>
      <c r="T53" s="1">
        <f t="shared" ref="T53:T56" si="10">_xlfn.LET(_xlpm.a,($E53+S$3*$G53)*(1+S$2),_xlpm.b,($F53+S$3*$H53)*(1+S$2),_xlpm.a/2+_xlpm.b/2)</f>
        <v>47.1</v>
      </c>
    </row>
    <row r="54" spans="1:20">
      <c r="A54" s="1" t="s">
        <v>287</v>
      </c>
      <c r="B54" s="1" t="s">
        <v>421</v>
      </c>
      <c r="C54" s="1" t="s">
        <v>8</v>
      </c>
      <c r="D54" s="1" t="s">
        <v>282</v>
      </c>
      <c r="E54" s="1">
        <f>E9*0.1</f>
        <v>0.1</v>
      </c>
      <c r="F54" s="1">
        <f>F9*0.15</f>
        <v>1.3499999999999999</v>
      </c>
      <c r="G54" s="1">
        <f>G9*0.1</f>
        <v>0.30000000000000004</v>
      </c>
      <c r="H54" s="1">
        <f>H9*0.15</f>
        <v>3.75</v>
      </c>
      <c r="M54" s="1" t="s">
        <v>582</v>
      </c>
      <c r="P54" s="1">
        <v>100</v>
      </c>
      <c r="Q54" s="1" t="str">
        <f t="shared" si="7"/>
        <v>0.1-1.35</v>
      </c>
      <c r="R54" s="1" t="str">
        <f t="shared" si="7"/>
        <v>1.3-16.35</v>
      </c>
      <c r="S54" s="1" t="str">
        <f t="shared" si="7"/>
        <v>7.8-98.1</v>
      </c>
      <c r="T54" s="1">
        <f t="shared" si="10"/>
        <v>52.95</v>
      </c>
    </row>
    <row r="55" spans="1:20">
      <c r="A55" s="1" t="s">
        <v>288</v>
      </c>
      <c r="B55" s="1" t="s">
        <v>422</v>
      </c>
      <c r="C55" s="1" t="s">
        <v>8</v>
      </c>
      <c r="D55" s="1" t="s">
        <v>283</v>
      </c>
      <c r="E55" s="1">
        <f>E10*0.125</f>
        <v>0.625</v>
      </c>
      <c r="F55" s="1">
        <f>F10*0.125</f>
        <v>0.625</v>
      </c>
      <c r="G55" s="1">
        <f>G10*0.125</f>
        <v>1.75</v>
      </c>
      <c r="H55" s="1">
        <f>H10*0.125</f>
        <v>1.75</v>
      </c>
      <c r="M55" s="1" t="s">
        <v>582</v>
      </c>
      <c r="P55" s="1">
        <v>100</v>
      </c>
      <c r="Q55" s="1" t="str">
        <f t="shared" si="7"/>
        <v>0.625-0.625</v>
      </c>
      <c r="R55" s="1" t="str">
        <f t="shared" si="7"/>
        <v>7.625-7.625</v>
      </c>
      <c r="S55" s="1" t="str">
        <f t="shared" si="7"/>
        <v>45.75-45.75</v>
      </c>
      <c r="T55" s="1">
        <f t="shared" si="10"/>
        <v>45.75</v>
      </c>
    </row>
    <row r="56" spans="1:20">
      <c r="A56" s="1" t="s">
        <v>289</v>
      </c>
      <c r="B56" s="1" t="s">
        <v>423</v>
      </c>
      <c r="C56" s="1" t="s">
        <v>8</v>
      </c>
      <c r="D56" s="1" t="s">
        <v>284</v>
      </c>
      <c r="E56" s="1">
        <f>E11*0.1</f>
        <v>0</v>
      </c>
      <c r="F56" s="1">
        <f>F11*0.15</f>
        <v>1.5</v>
      </c>
      <c r="G56" s="1">
        <f>G11*0.1</f>
        <v>0</v>
      </c>
      <c r="H56" s="1">
        <f>H11*0.15</f>
        <v>4.2</v>
      </c>
      <c r="M56" s="1" t="s">
        <v>582</v>
      </c>
      <c r="P56" s="1">
        <v>100</v>
      </c>
      <c r="Q56" s="1" t="str">
        <f t="shared" si="7"/>
        <v>0-1.5</v>
      </c>
      <c r="R56" s="1" t="str">
        <f t="shared" si="7"/>
        <v>0-18.3</v>
      </c>
      <c r="S56" s="1" t="str">
        <f t="shared" si="7"/>
        <v>0-109.8</v>
      </c>
      <c r="T56" s="1">
        <f t="shared" si="10"/>
        <v>54.900000000000006</v>
      </c>
    </row>
    <row r="57" spans="1:20">
      <c r="A57" s="1" t="s">
        <v>30</v>
      </c>
      <c r="B57" s="1" t="s">
        <v>424</v>
      </c>
      <c r="C57" s="1" t="s">
        <v>8</v>
      </c>
      <c r="D57" s="1" t="s">
        <v>157</v>
      </c>
      <c r="E57" s="1">
        <v>3</v>
      </c>
      <c r="F57" s="1">
        <v>5</v>
      </c>
      <c r="G57" s="1">
        <v>6</v>
      </c>
      <c r="H57" s="1">
        <v>20</v>
      </c>
      <c r="M57" s="1" t="s">
        <v>548</v>
      </c>
      <c r="P57" s="1">
        <v>100</v>
      </c>
      <c r="Q57" s="1" t="str">
        <f t="shared" si="7"/>
        <v>3-5</v>
      </c>
      <c r="R57" s="1" t="str">
        <f t="shared" si="7"/>
        <v>27-85</v>
      </c>
      <c r="S57" s="1" t="str">
        <f t="shared" si="7"/>
        <v>162-510</v>
      </c>
      <c r="T57" s="1">
        <f t="shared" si="3"/>
        <v>336</v>
      </c>
    </row>
    <row r="58" spans="1:20">
      <c r="A58" s="1" t="s">
        <v>31</v>
      </c>
      <c r="B58" s="1" t="s">
        <v>425</v>
      </c>
      <c r="C58" s="1" t="s">
        <v>8</v>
      </c>
      <c r="D58" s="1" t="s">
        <v>158</v>
      </c>
      <c r="E58" s="1">
        <v>3</v>
      </c>
      <c r="F58" s="1">
        <v>5</v>
      </c>
      <c r="G58" s="1">
        <v>6</v>
      </c>
      <c r="H58" s="1">
        <v>20</v>
      </c>
      <c r="M58" s="1" t="s">
        <v>548</v>
      </c>
      <c r="P58" s="1">
        <v>100</v>
      </c>
      <c r="Q58" s="1" t="str">
        <f t="shared" si="7"/>
        <v>3-5</v>
      </c>
      <c r="R58" s="1" t="str">
        <f t="shared" si="7"/>
        <v>27-85</v>
      </c>
      <c r="S58" s="1" t="str">
        <f t="shared" si="7"/>
        <v>162-510</v>
      </c>
      <c r="T58" s="1">
        <f t="shared" si="3"/>
        <v>336</v>
      </c>
    </row>
    <row r="59" spans="1:20">
      <c r="A59" s="1" t="s">
        <v>296</v>
      </c>
      <c r="B59" s="1" t="s">
        <v>426</v>
      </c>
      <c r="C59" s="1" t="s">
        <v>8</v>
      </c>
      <c r="D59" s="1" t="s">
        <v>290</v>
      </c>
      <c r="E59" s="1">
        <v>2</v>
      </c>
      <c r="F59" s="1">
        <v>10</v>
      </c>
      <c r="G59" s="1">
        <v>5</v>
      </c>
      <c r="H59" s="1">
        <v>22.5</v>
      </c>
      <c r="M59" s="1" t="s">
        <v>548</v>
      </c>
      <c r="P59" s="1">
        <v>100</v>
      </c>
      <c r="Q59" s="1" t="str">
        <f t="shared" si="7"/>
        <v>2-10</v>
      </c>
      <c r="R59" s="1" t="str">
        <f t="shared" si="7"/>
        <v>22-100</v>
      </c>
      <c r="S59" s="1" t="str">
        <f t="shared" si="7"/>
        <v>132-600</v>
      </c>
      <c r="T59" s="1">
        <f t="shared" ref="T59" si="11">_xlfn.LET(_xlpm.a,($E59+S$3*$G59)*(1+S$2),_xlpm.b,($F59+S$3*$H59)*(1+S$2),_xlpm.a/2+_xlpm.b/2)</f>
        <v>366</v>
      </c>
    </row>
    <row r="60" spans="1:20">
      <c r="A60" s="1" t="s">
        <v>32</v>
      </c>
      <c r="B60" s="1" t="s">
        <v>427</v>
      </c>
      <c r="C60" s="1" t="s">
        <v>8</v>
      </c>
      <c r="D60" s="1" t="s">
        <v>159</v>
      </c>
      <c r="E60" s="1">
        <v>5</v>
      </c>
      <c r="F60" s="1">
        <v>10</v>
      </c>
      <c r="G60" s="1">
        <v>1.2</v>
      </c>
      <c r="H60" s="1">
        <v>2.4</v>
      </c>
      <c r="M60" s="1" t="s">
        <v>583</v>
      </c>
      <c r="P60" s="1">
        <v>100</v>
      </c>
      <c r="Q60" s="1" t="str">
        <f>_xlfn.LET(_xlpm.a,($E60+Q$3*$G60)*(1+Q$2),_xlpm.b,($F60+Q$3*$H60)*(1+Q$2),_xlpm.a&amp;"-"&amp;_xlpm.b)</f>
        <v>5-10</v>
      </c>
      <c r="R60" s="1" t="str">
        <f t="shared" ref="R60:S142" si="12">_xlfn.LET(_xlpm.a,($E60+R$3*$G60)*(1+R$2),_xlpm.b,($F60+R$3*$H60)*(1+R$2),_xlpm.a&amp;"-"&amp;_xlpm.b)</f>
        <v>9.8-19.6</v>
      </c>
      <c r="S60" s="1" t="str">
        <f t="shared" si="12"/>
        <v>58.8-117.6</v>
      </c>
      <c r="T60" s="1">
        <f t="shared" si="3"/>
        <v>88.2</v>
      </c>
    </row>
    <row r="61" spans="1:20">
      <c r="A61" s="1" t="s">
        <v>33</v>
      </c>
      <c r="B61" s="1" t="s">
        <v>428</v>
      </c>
      <c r="C61" s="1" t="s">
        <v>8</v>
      </c>
      <c r="D61" s="1" t="s">
        <v>172</v>
      </c>
      <c r="E61" s="1">
        <v>10</v>
      </c>
      <c r="F61" s="1">
        <v>20</v>
      </c>
      <c r="G61" s="1">
        <v>2.5</v>
      </c>
      <c r="H61" s="1">
        <v>5</v>
      </c>
      <c r="M61" s="1" t="s">
        <v>583</v>
      </c>
      <c r="P61" s="1">
        <v>100</v>
      </c>
      <c r="Q61" s="1" t="str">
        <f>_xlfn.LET(_xlpm.a,($E61+Q$3*$G61)*(1+Q$2),_xlpm.b,($F61+Q$3*$H61)*(1+Q$2),_xlpm.a&amp;"-"&amp;_xlpm.b)</f>
        <v>10-20</v>
      </c>
      <c r="R61" s="1" t="str">
        <f t="shared" si="12"/>
        <v>20-40</v>
      </c>
      <c r="S61" s="1" t="str">
        <f t="shared" si="12"/>
        <v>120-240</v>
      </c>
      <c r="T61" s="1">
        <f t="shared" si="3"/>
        <v>180</v>
      </c>
    </row>
    <row r="62" spans="1:20">
      <c r="A62" s="1" t="s">
        <v>34</v>
      </c>
      <c r="B62" s="1" t="s">
        <v>431</v>
      </c>
      <c r="C62" s="1" t="s">
        <v>8</v>
      </c>
      <c r="D62" s="1" t="s">
        <v>160</v>
      </c>
      <c r="E62" s="1">
        <v>10</v>
      </c>
      <c r="F62" s="1">
        <v>20</v>
      </c>
      <c r="G62" s="1">
        <v>2.5</v>
      </c>
      <c r="H62" s="1">
        <v>5</v>
      </c>
      <c r="M62" s="1" t="s">
        <v>583</v>
      </c>
      <c r="P62" s="1">
        <v>100</v>
      </c>
      <c r="Q62" s="1" t="str">
        <f t="shared" ref="Q62:S148" si="13">_xlfn.LET(_xlpm.a,($E62+Q$3*$G62)*(1+Q$2),_xlpm.b,($F62+Q$3*$H62)*(1+Q$2),_xlpm.a&amp;"-"&amp;_xlpm.b)</f>
        <v>10-20</v>
      </c>
      <c r="R62" s="1" t="str">
        <f t="shared" si="12"/>
        <v>20-40</v>
      </c>
      <c r="S62" s="1" t="str">
        <f t="shared" si="12"/>
        <v>120-240</v>
      </c>
      <c r="T62" s="1">
        <f t="shared" si="3"/>
        <v>180</v>
      </c>
    </row>
    <row r="63" spans="1:20">
      <c r="A63" s="1" t="s">
        <v>35</v>
      </c>
      <c r="B63" s="1" t="s">
        <v>429</v>
      </c>
      <c r="C63" s="1" t="s">
        <v>8</v>
      </c>
      <c r="D63" s="1" t="s">
        <v>161</v>
      </c>
      <c r="E63" s="1">
        <v>10</v>
      </c>
      <c r="F63" s="1">
        <v>20</v>
      </c>
      <c r="G63" s="1">
        <v>2.5</v>
      </c>
      <c r="H63" s="1">
        <v>5</v>
      </c>
      <c r="M63" s="1" t="s">
        <v>583</v>
      </c>
      <c r="P63" s="1">
        <v>100</v>
      </c>
      <c r="Q63" s="1" t="str">
        <f t="shared" si="13"/>
        <v>10-20</v>
      </c>
      <c r="R63" s="1" t="str">
        <f t="shared" si="12"/>
        <v>20-40</v>
      </c>
      <c r="S63" s="1" t="str">
        <f t="shared" si="12"/>
        <v>120-240</v>
      </c>
      <c r="T63" s="1">
        <f t="shared" si="3"/>
        <v>180</v>
      </c>
    </row>
    <row r="64" spans="1:20">
      <c r="A64" s="1" t="s">
        <v>36</v>
      </c>
      <c r="B64" s="1" t="s">
        <v>430</v>
      </c>
      <c r="C64" s="1" t="s">
        <v>8</v>
      </c>
      <c r="D64" s="1" t="s">
        <v>162</v>
      </c>
      <c r="E64" s="1">
        <v>10</v>
      </c>
      <c r="F64" s="1">
        <v>20</v>
      </c>
      <c r="G64" s="1">
        <v>2.5</v>
      </c>
      <c r="H64" s="1">
        <v>5</v>
      </c>
      <c r="M64" s="1" t="s">
        <v>583</v>
      </c>
      <c r="P64" s="1">
        <v>100</v>
      </c>
      <c r="Q64" s="1" t="str">
        <f t="shared" si="13"/>
        <v>10-20</v>
      </c>
      <c r="R64" s="1" t="str">
        <f t="shared" si="12"/>
        <v>20-40</v>
      </c>
      <c r="S64" s="1" t="str">
        <f t="shared" si="12"/>
        <v>120-240</v>
      </c>
      <c r="T64" s="1">
        <f t="shared" si="3"/>
        <v>180</v>
      </c>
    </row>
    <row r="65" spans="1:20">
      <c r="A65" s="1" t="s">
        <v>637</v>
      </c>
      <c r="B65" s="1" t="s">
        <v>637</v>
      </c>
      <c r="C65" s="1" t="s">
        <v>8</v>
      </c>
      <c r="D65" s="1" t="s">
        <v>159</v>
      </c>
      <c r="E65" s="1">
        <v>50</v>
      </c>
      <c r="F65" s="1">
        <v>50</v>
      </c>
      <c r="G65" s="1">
        <v>0</v>
      </c>
      <c r="H65" s="1">
        <v>0</v>
      </c>
      <c r="I65" s="1">
        <v>0</v>
      </c>
      <c r="Q65" s="1" t="str">
        <f t="shared" si="13"/>
        <v>50-50</v>
      </c>
      <c r="R65" s="1" t="str">
        <f t="shared" si="12"/>
        <v>50-50</v>
      </c>
      <c r="S65" s="1" t="str">
        <f t="shared" si="12"/>
        <v>300-300</v>
      </c>
      <c r="T65" s="1">
        <f t="shared" ref="T65:T69" si="14">_xlfn.LET(_xlpm.a,($E65+S$3*$G65)*(1+S$2),_xlpm.b,($F65+S$3*$H65)*(1+S$2),_xlpm.a/2+_xlpm.b/2)</f>
        <v>300</v>
      </c>
    </row>
    <row r="66" spans="1:20">
      <c r="A66" s="1" t="s">
        <v>638</v>
      </c>
      <c r="B66" s="1" t="s">
        <v>638</v>
      </c>
      <c r="C66" s="1" t="s">
        <v>8</v>
      </c>
      <c r="D66" s="1" t="s">
        <v>172</v>
      </c>
      <c r="E66" s="1">
        <v>50</v>
      </c>
      <c r="F66" s="1">
        <v>50</v>
      </c>
      <c r="G66" s="1">
        <v>0</v>
      </c>
      <c r="H66" s="1">
        <v>0</v>
      </c>
      <c r="I66" s="1">
        <v>0</v>
      </c>
      <c r="Q66" s="1" t="str">
        <f t="shared" si="13"/>
        <v>50-50</v>
      </c>
      <c r="R66" s="1" t="str">
        <f t="shared" si="12"/>
        <v>50-50</v>
      </c>
      <c r="S66" s="1" t="str">
        <f t="shared" si="12"/>
        <v>300-300</v>
      </c>
      <c r="T66" s="1">
        <f t="shared" si="14"/>
        <v>300</v>
      </c>
    </row>
    <row r="67" spans="1:20">
      <c r="A67" s="1" t="s">
        <v>639</v>
      </c>
      <c r="B67" s="1" t="s">
        <v>639</v>
      </c>
      <c r="C67" s="1" t="s">
        <v>8</v>
      </c>
      <c r="D67" s="1" t="s">
        <v>160</v>
      </c>
      <c r="E67" s="1">
        <v>50</v>
      </c>
      <c r="F67" s="1">
        <v>50</v>
      </c>
      <c r="G67" s="1">
        <v>0</v>
      </c>
      <c r="H67" s="1">
        <v>0</v>
      </c>
      <c r="I67" s="1">
        <v>0</v>
      </c>
      <c r="Q67" s="1" t="str">
        <f t="shared" si="13"/>
        <v>50-50</v>
      </c>
      <c r="R67" s="1" t="str">
        <f t="shared" si="12"/>
        <v>50-50</v>
      </c>
      <c r="S67" s="1" t="str">
        <f t="shared" si="12"/>
        <v>300-300</v>
      </c>
      <c r="T67" s="1">
        <f t="shared" si="14"/>
        <v>300</v>
      </c>
    </row>
    <row r="68" spans="1:20">
      <c r="A68" s="1" t="s">
        <v>640</v>
      </c>
      <c r="B68" s="1" t="s">
        <v>640</v>
      </c>
      <c r="C68" s="1" t="s">
        <v>8</v>
      </c>
      <c r="D68" s="1" t="s">
        <v>161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Q68" s="1" t="str">
        <f t="shared" si="13"/>
        <v>50-50</v>
      </c>
      <c r="R68" s="1" t="str">
        <f t="shared" si="12"/>
        <v>50-50</v>
      </c>
      <c r="S68" s="1" t="str">
        <f t="shared" si="12"/>
        <v>300-300</v>
      </c>
      <c r="T68" s="1">
        <f t="shared" si="14"/>
        <v>300</v>
      </c>
    </row>
    <row r="69" spans="1:20">
      <c r="A69" s="1" t="s">
        <v>641</v>
      </c>
      <c r="B69" s="1" t="s">
        <v>641</v>
      </c>
      <c r="C69" s="1" t="s">
        <v>8</v>
      </c>
      <c r="D69" s="1" t="s">
        <v>162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Q69" s="1" t="str">
        <f t="shared" si="13"/>
        <v>50-50</v>
      </c>
      <c r="R69" s="1" t="str">
        <f t="shared" si="12"/>
        <v>50-50</v>
      </c>
      <c r="S69" s="1" t="str">
        <f t="shared" si="12"/>
        <v>300-300</v>
      </c>
      <c r="T69" s="1">
        <f t="shared" si="14"/>
        <v>300</v>
      </c>
    </row>
    <row r="70" spans="1:20">
      <c r="A70" s="1" t="s">
        <v>249</v>
      </c>
      <c r="B70" s="1" t="s">
        <v>432</v>
      </c>
      <c r="C70" s="1" t="s">
        <v>8</v>
      </c>
      <c r="D70" s="1" t="s">
        <v>248</v>
      </c>
      <c r="E70" s="1">
        <v>1</v>
      </c>
      <c r="F70" s="1">
        <v>3</v>
      </c>
      <c r="G70" s="1">
        <v>0</v>
      </c>
      <c r="H70" s="1">
        <v>0.5</v>
      </c>
      <c r="Q70" s="1" t="str">
        <f t="shared" si="13"/>
        <v>1-3</v>
      </c>
      <c r="R70" s="1" t="str">
        <f t="shared" si="12"/>
        <v>1-5</v>
      </c>
      <c r="S70" s="1" t="str">
        <f t="shared" si="12"/>
        <v>6-30</v>
      </c>
      <c r="T70" s="1">
        <f t="shared" ref="T70:T74" si="15">_xlfn.LET(_xlpm.a,($E70+S$3*$G70)*(1+S$2),_xlpm.b,($F70+S$3*$H70)*(1+S$2),_xlpm.a/2+_xlpm.b/2)</f>
        <v>18</v>
      </c>
    </row>
    <row r="71" spans="1:20">
      <c r="A71" s="1" t="s">
        <v>251</v>
      </c>
      <c r="B71" s="1" t="s">
        <v>436</v>
      </c>
      <c r="C71" s="1" t="s">
        <v>8</v>
      </c>
      <c r="D71" s="1" t="s">
        <v>250</v>
      </c>
      <c r="E71" s="1">
        <v>1</v>
      </c>
      <c r="F71" s="1">
        <v>3</v>
      </c>
      <c r="G71" s="1">
        <v>0</v>
      </c>
      <c r="H71" s="1">
        <v>0.5</v>
      </c>
      <c r="Q71" s="1" t="str">
        <f t="shared" si="13"/>
        <v>1-3</v>
      </c>
      <c r="R71" s="1" t="str">
        <f t="shared" si="12"/>
        <v>1-5</v>
      </c>
      <c r="S71" s="1" t="str">
        <f t="shared" si="12"/>
        <v>6-30</v>
      </c>
      <c r="T71" s="1">
        <f t="shared" si="15"/>
        <v>18</v>
      </c>
    </row>
    <row r="72" spans="1:20">
      <c r="A72" s="1" t="s">
        <v>252</v>
      </c>
      <c r="B72" s="1" t="s">
        <v>433</v>
      </c>
      <c r="C72" s="1" t="s">
        <v>8</v>
      </c>
      <c r="D72" s="1" t="s">
        <v>255</v>
      </c>
      <c r="E72" s="1">
        <v>1</v>
      </c>
      <c r="F72" s="1">
        <v>3</v>
      </c>
      <c r="G72" s="1">
        <v>0</v>
      </c>
      <c r="H72" s="1">
        <v>0.5</v>
      </c>
      <c r="Q72" s="1" t="str">
        <f t="shared" si="13"/>
        <v>1-3</v>
      </c>
      <c r="R72" s="1" t="str">
        <f t="shared" si="12"/>
        <v>1-5</v>
      </c>
      <c r="S72" s="1" t="str">
        <f t="shared" si="12"/>
        <v>6-30</v>
      </c>
      <c r="T72" s="1">
        <f t="shared" si="15"/>
        <v>18</v>
      </c>
    </row>
    <row r="73" spans="1:20">
      <c r="A73" s="1" t="s">
        <v>253</v>
      </c>
      <c r="B73" s="1" t="s">
        <v>434</v>
      </c>
      <c r="C73" s="1" t="s">
        <v>8</v>
      </c>
      <c r="D73" s="1" t="s">
        <v>256</v>
      </c>
      <c r="E73" s="1">
        <v>1</v>
      </c>
      <c r="F73" s="1">
        <v>3</v>
      </c>
      <c r="G73" s="1">
        <v>0</v>
      </c>
      <c r="H73" s="1">
        <v>0.5</v>
      </c>
      <c r="Q73" s="1" t="str">
        <f t="shared" si="13"/>
        <v>1-3</v>
      </c>
      <c r="R73" s="1" t="str">
        <f t="shared" si="12"/>
        <v>1-5</v>
      </c>
      <c r="S73" s="1" t="str">
        <f t="shared" si="12"/>
        <v>6-30</v>
      </c>
      <c r="T73" s="1">
        <f t="shared" si="15"/>
        <v>18</v>
      </c>
    </row>
    <row r="74" spans="1:20">
      <c r="A74" s="1" t="s">
        <v>254</v>
      </c>
      <c r="B74" s="1" t="s">
        <v>435</v>
      </c>
      <c r="C74" s="1" t="s">
        <v>8</v>
      </c>
      <c r="D74" s="1" t="s">
        <v>257</v>
      </c>
      <c r="E74" s="1">
        <v>1</v>
      </c>
      <c r="F74" s="1">
        <v>3</v>
      </c>
      <c r="G74" s="1">
        <v>0</v>
      </c>
      <c r="H74" s="1">
        <v>0.5</v>
      </c>
      <c r="Q74" s="1" t="str">
        <f t="shared" si="13"/>
        <v>1-3</v>
      </c>
      <c r="R74" s="1" t="str">
        <f t="shared" si="12"/>
        <v>1-5</v>
      </c>
      <c r="S74" s="1" t="str">
        <f t="shared" si="12"/>
        <v>6-30</v>
      </c>
      <c r="T74" s="1">
        <f t="shared" si="15"/>
        <v>18</v>
      </c>
    </row>
    <row r="75" spans="1:20">
      <c r="A75" s="1" t="s">
        <v>265</v>
      </c>
      <c r="B75" s="1" t="s">
        <v>437</v>
      </c>
      <c r="C75" s="1" t="s">
        <v>8</v>
      </c>
      <c r="D75" s="1" t="s">
        <v>258</v>
      </c>
      <c r="E75" s="1">
        <v>5</v>
      </c>
      <c r="F75" s="1">
        <v>10</v>
      </c>
      <c r="G75" s="1">
        <v>0.5</v>
      </c>
      <c r="H75" s="1">
        <v>2</v>
      </c>
      <c r="M75" s="1" t="s">
        <v>571</v>
      </c>
      <c r="P75" s="1">
        <v>120</v>
      </c>
      <c r="Q75" s="1" t="str">
        <f t="shared" si="13"/>
        <v>5-10</v>
      </c>
      <c r="R75" s="1" t="str">
        <f t="shared" si="12"/>
        <v>7-18</v>
      </c>
      <c r="S75" s="1" t="str">
        <f t="shared" si="12"/>
        <v>42-108</v>
      </c>
      <c r="T75" s="1">
        <f t="shared" ref="T75:T123" si="16">_xlfn.LET(_xlpm.a,($E75+S$3*$G75)*(1+S$2),_xlpm.b,($F75+S$3*$H75)*(1+S$2),_xlpm.a/2+_xlpm.b/2)</f>
        <v>75</v>
      </c>
    </row>
    <row r="76" spans="1:20">
      <c r="A76" s="1" t="s">
        <v>266</v>
      </c>
      <c r="B76" s="1" t="s">
        <v>438</v>
      </c>
      <c r="C76" s="1" t="s">
        <v>8</v>
      </c>
      <c r="D76" s="1" t="s">
        <v>259</v>
      </c>
      <c r="E76" s="1">
        <v>5</v>
      </c>
      <c r="F76" s="1">
        <v>10</v>
      </c>
      <c r="G76" s="1">
        <v>0.5</v>
      </c>
      <c r="H76" s="1">
        <v>2</v>
      </c>
      <c r="M76" s="1" t="s">
        <v>571</v>
      </c>
      <c r="P76" s="1">
        <v>120</v>
      </c>
      <c r="Q76" s="1" t="str">
        <f t="shared" si="13"/>
        <v>5-10</v>
      </c>
      <c r="R76" s="1" t="str">
        <f t="shared" si="12"/>
        <v>7-18</v>
      </c>
      <c r="S76" s="1" t="str">
        <f t="shared" si="12"/>
        <v>42-108</v>
      </c>
      <c r="T76" s="1">
        <f t="shared" si="16"/>
        <v>75</v>
      </c>
    </row>
    <row r="77" spans="1:20">
      <c r="A77" s="1" t="s">
        <v>267</v>
      </c>
      <c r="B77" s="1" t="s">
        <v>439</v>
      </c>
      <c r="C77" s="1" t="s">
        <v>8</v>
      </c>
      <c r="D77" s="1" t="s">
        <v>260</v>
      </c>
      <c r="E77" s="1">
        <v>5</v>
      </c>
      <c r="F77" s="1">
        <v>10</v>
      </c>
      <c r="G77" s="1">
        <v>0.5</v>
      </c>
      <c r="H77" s="1">
        <v>2</v>
      </c>
      <c r="M77" s="1" t="s">
        <v>571</v>
      </c>
      <c r="P77" s="1">
        <v>100</v>
      </c>
      <c r="Q77" s="1" t="str">
        <f t="shared" si="13"/>
        <v>5-10</v>
      </c>
      <c r="R77" s="1" t="str">
        <f t="shared" si="12"/>
        <v>7-18</v>
      </c>
      <c r="S77" s="1" t="str">
        <f t="shared" si="12"/>
        <v>42-108</v>
      </c>
      <c r="T77" s="1">
        <f t="shared" si="16"/>
        <v>75</v>
      </c>
    </row>
    <row r="78" spans="1:20">
      <c r="A78" s="1" t="s">
        <v>268</v>
      </c>
      <c r="B78" s="1" t="s">
        <v>440</v>
      </c>
      <c r="C78" s="1" t="s">
        <v>8</v>
      </c>
      <c r="D78" s="1" t="s">
        <v>261</v>
      </c>
      <c r="E78" s="1">
        <v>5</v>
      </c>
      <c r="F78" s="1">
        <v>10</v>
      </c>
      <c r="G78" s="1">
        <v>0.5</v>
      </c>
      <c r="H78" s="1">
        <v>2</v>
      </c>
      <c r="M78" s="1" t="s">
        <v>571</v>
      </c>
      <c r="P78" s="1">
        <v>100</v>
      </c>
      <c r="Q78" s="1" t="str">
        <f t="shared" si="13"/>
        <v>5-10</v>
      </c>
      <c r="R78" s="1" t="str">
        <f t="shared" si="12"/>
        <v>7-18</v>
      </c>
      <c r="S78" s="1" t="str">
        <f t="shared" si="12"/>
        <v>42-108</v>
      </c>
      <c r="T78" s="1">
        <f t="shared" si="16"/>
        <v>75</v>
      </c>
    </row>
    <row r="79" spans="1:20">
      <c r="A79" s="1" t="s">
        <v>269</v>
      </c>
      <c r="B79" s="1" t="s">
        <v>441</v>
      </c>
      <c r="C79" s="1" t="s">
        <v>8</v>
      </c>
      <c r="D79" s="1" t="s">
        <v>262</v>
      </c>
      <c r="E79" s="1">
        <v>5</v>
      </c>
      <c r="F79" s="1">
        <v>10</v>
      </c>
      <c r="G79" s="1">
        <v>0.5</v>
      </c>
      <c r="H79" s="1">
        <v>2</v>
      </c>
      <c r="M79" s="1" t="s">
        <v>571</v>
      </c>
      <c r="P79" s="1">
        <v>100</v>
      </c>
      <c r="Q79" s="1" t="str">
        <f t="shared" si="13"/>
        <v>5-10</v>
      </c>
      <c r="R79" s="1" t="str">
        <f t="shared" si="12"/>
        <v>7-18</v>
      </c>
      <c r="S79" s="1" t="str">
        <f t="shared" si="12"/>
        <v>42-108</v>
      </c>
      <c r="T79" s="1">
        <f t="shared" si="16"/>
        <v>75</v>
      </c>
    </row>
    <row r="80" spans="1:20">
      <c r="A80" s="1" t="s">
        <v>270</v>
      </c>
      <c r="B80" s="1" t="s">
        <v>442</v>
      </c>
      <c r="C80" s="1" t="s">
        <v>8</v>
      </c>
      <c r="D80" s="1" t="s">
        <v>263</v>
      </c>
      <c r="E80" s="1">
        <v>5</v>
      </c>
      <c r="F80" s="1">
        <v>10</v>
      </c>
      <c r="G80" s="1">
        <v>0.5</v>
      </c>
      <c r="H80" s="1">
        <v>2</v>
      </c>
      <c r="M80" s="1" t="s">
        <v>571</v>
      </c>
      <c r="P80" s="1">
        <v>100</v>
      </c>
      <c r="Q80" s="1" t="str">
        <f t="shared" si="13"/>
        <v>5-10</v>
      </c>
      <c r="R80" s="1" t="str">
        <f t="shared" si="12"/>
        <v>7-18</v>
      </c>
      <c r="S80" s="1" t="str">
        <f t="shared" si="12"/>
        <v>42-108</v>
      </c>
      <c r="T80" s="1">
        <f t="shared" si="16"/>
        <v>75</v>
      </c>
    </row>
    <row r="81" spans="1:20">
      <c r="A81" s="1" t="s">
        <v>271</v>
      </c>
      <c r="B81" s="1" t="s">
        <v>443</v>
      </c>
      <c r="C81" s="1" t="s">
        <v>8</v>
      </c>
      <c r="D81" s="1" t="s">
        <v>264</v>
      </c>
      <c r="E81" s="1">
        <v>5</v>
      </c>
      <c r="F81" s="1">
        <v>15</v>
      </c>
      <c r="G81" s="1">
        <v>0.5</v>
      </c>
      <c r="H81" s="1">
        <v>4</v>
      </c>
      <c r="M81" s="1" t="s">
        <v>571</v>
      </c>
      <c r="P81" s="1">
        <v>100</v>
      </c>
      <c r="Q81" s="1" t="str">
        <f t="shared" si="13"/>
        <v>5-15</v>
      </c>
      <c r="R81" s="1" t="str">
        <f t="shared" si="12"/>
        <v>7-31</v>
      </c>
      <c r="S81" s="1" t="str">
        <f t="shared" si="12"/>
        <v>42-186</v>
      </c>
      <c r="T81" s="1">
        <f t="shared" si="16"/>
        <v>114</v>
      </c>
    </row>
    <row r="82" spans="1:20" s="3" customFormat="1">
      <c r="A82" s="3" t="s">
        <v>42</v>
      </c>
      <c r="B82" s="3" t="s">
        <v>451</v>
      </c>
      <c r="C82" s="3" t="s">
        <v>8</v>
      </c>
      <c r="D82" s="3" t="s">
        <v>163</v>
      </c>
      <c r="E82" s="3">
        <v>1</v>
      </c>
      <c r="F82" s="3">
        <v>1</v>
      </c>
      <c r="G82" s="3">
        <v>0</v>
      </c>
      <c r="H82" s="3">
        <v>0</v>
      </c>
      <c r="N82" s="3">
        <v>12</v>
      </c>
      <c r="O82" s="3">
        <v>14</v>
      </c>
      <c r="Q82" s="3" t="str">
        <f t="shared" si="13"/>
        <v>1-1</v>
      </c>
      <c r="R82" s="3" t="str">
        <f t="shared" si="12"/>
        <v>1-1</v>
      </c>
      <c r="S82" s="3" t="str">
        <f t="shared" si="12"/>
        <v>6-6</v>
      </c>
      <c r="T82" s="3">
        <f t="shared" si="16"/>
        <v>6</v>
      </c>
    </row>
    <row r="83" spans="1:20" s="3" customFormat="1">
      <c r="A83" s="3" t="s">
        <v>43</v>
      </c>
      <c r="B83" s="3" t="s">
        <v>453</v>
      </c>
      <c r="C83" s="3" t="s">
        <v>8</v>
      </c>
      <c r="D83" s="3" t="s">
        <v>164</v>
      </c>
      <c r="E83" s="3">
        <v>1</v>
      </c>
      <c r="F83" s="3">
        <v>1</v>
      </c>
      <c r="G83" s="3">
        <v>0</v>
      </c>
      <c r="H83" s="3">
        <v>0</v>
      </c>
      <c r="N83" s="3">
        <v>12</v>
      </c>
      <c r="O83" s="3">
        <v>14</v>
      </c>
      <c r="Q83" s="3" t="str">
        <f t="shared" si="13"/>
        <v>1-1</v>
      </c>
      <c r="R83" s="3" t="str">
        <f t="shared" si="12"/>
        <v>1-1</v>
      </c>
      <c r="S83" s="3" t="str">
        <f t="shared" si="12"/>
        <v>6-6</v>
      </c>
      <c r="T83" s="3">
        <f t="shared" si="16"/>
        <v>6</v>
      </c>
    </row>
    <row r="84" spans="1:20" s="3" customFormat="1">
      <c r="A84" s="3" t="s">
        <v>767</v>
      </c>
      <c r="B84" s="3" t="s">
        <v>765</v>
      </c>
      <c r="C84" s="3" t="s">
        <v>8</v>
      </c>
      <c r="D84" s="3" t="s">
        <v>165</v>
      </c>
      <c r="E84" s="3">
        <v>1</v>
      </c>
      <c r="F84" s="3">
        <v>1</v>
      </c>
      <c r="G84" s="3">
        <v>0</v>
      </c>
      <c r="H84" s="3">
        <v>0</v>
      </c>
      <c r="N84" s="3">
        <v>12</v>
      </c>
      <c r="O84" s="3">
        <v>14</v>
      </c>
      <c r="P84" s="3">
        <v>50</v>
      </c>
      <c r="Q84" s="3" t="str">
        <f t="shared" si="13"/>
        <v>1-1</v>
      </c>
      <c r="R84" s="3" t="str">
        <f t="shared" si="12"/>
        <v>1-1</v>
      </c>
      <c r="S84" s="3" t="str">
        <f t="shared" si="12"/>
        <v>6-6</v>
      </c>
      <c r="T84" s="3">
        <f t="shared" ref="T84" si="17">_xlfn.LET(_xlpm.a,($E84+S$3*$G84)*(1+S$2),_xlpm.b,($F84+S$3*$H84)*(1+S$2),_xlpm.a/2+_xlpm.b/2)</f>
        <v>6</v>
      </c>
    </row>
    <row r="85" spans="1:20" s="3" customFormat="1">
      <c r="A85" s="3" t="s">
        <v>444</v>
      </c>
      <c r="B85" s="3" t="s">
        <v>450</v>
      </c>
      <c r="C85" s="3" t="s">
        <v>8</v>
      </c>
      <c r="D85" s="3" t="s">
        <v>754</v>
      </c>
      <c r="E85" s="3">
        <v>1</v>
      </c>
      <c r="F85" s="3">
        <v>1</v>
      </c>
      <c r="G85" s="3">
        <v>0</v>
      </c>
      <c r="H85" s="3">
        <v>0</v>
      </c>
      <c r="M85" s="3" t="s">
        <v>572</v>
      </c>
      <c r="N85" s="3">
        <v>12</v>
      </c>
      <c r="O85" s="3">
        <v>14</v>
      </c>
      <c r="P85" s="3">
        <v>70</v>
      </c>
      <c r="Q85" s="3" t="str">
        <f t="shared" si="13"/>
        <v>1-1</v>
      </c>
      <c r="R85" s="3" t="str">
        <f t="shared" si="12"/>
        <v>1-1</v>
      </c>
      <c r="S85" s="3" t="str">
        <f t="shared" si="12"/>
        <v>6-6</v>
      </c>
      <c r="T85" s="3">
        <f t="shared" si="16"/>
        <v>6</v>
      </c>
    </row>
    <row r="86" spans="1:20" s="3" customFormat="1">
      <c r="A86" s="3" t="s">
        <v>445</v>
      </c>
      <c r="B86" s="3" t="s">
        <v>452</v>
      </c>
      <c r="C86" s="3" t="s">
        <v>8</v>
      </c>
      <c r="D86" s="3" t="s">
        <v>755</v>
      </c>
      <c r="E86" s="3">
        <v>1</v>
      </c>
      <c r="F86" s="3">
        <v>1</v>
      </c>
      <c r="G86" s="3">
        <v>0</v>
      </c>
      <c r="H86" s="3">
        <v>0</v>
      </c>
      <c r="M86" s="3" t="s">
        <v>572</v>
      </c>
      <c r="N86" s="3">
        <v>12</v>
      </c>
      <c r="O86" s="3">
        <v>14</v>
      </c>
      <c r="P86" s="3">
        <v>70</v>
      </c>
      <c r="Q86" s="3" t="str">
        <f t="shared" si="13"/>
        <v>1-1</v>
      </c>
      <c r="R86" s="3" t="str">
        <f t="shared" si="12"/>
        <v>1-1</v>
      </c>
      <c r="S86" s="3" t="str">
        <f t="shared" si="12"/>
        <v>6-6</v>
      </c>
      <c r="T86" s="3">
        <f t="shared" si="16"/>
        <v>6</v>
      </c>
    </row>
    <row r="87" spans="1:20" s="3" customFormat="1">
      <c r="A87" s="3" t="s">
        <v>44</v>
      </c>
      <c r="B87" s="3" t="s">
        <v>454</v>
      </c>
      <c r="C87" s="3" t="s">
        <v>8</v>
      </c>
      <c r="D87" s="3" t="s">
        <v>762</v>
      </c>
      <c r="E87" s="3">
        <v>1</v>
      </c>
      <c r="F87" s="3">
        <v>1</v>
      </c>
      <c r="G87" s="3">
        <v>0</v>
      </c>
      <c r="H87" s="3">
        <v>0</v>
      </c>
      <c r="M87" s="3" t="s">
        <v>394</v>
      </c>
      <c r="N87" s="3">
        <v>12</v>
      </c>
      <c r="O87" s="3">
        <v>14</v>
      </c>
      <c r="P87" s="3">
        <v>50</v>
      </c>
      <c r="Q87" s="3" t="str">
        <f t="shared" si="13"/>
        <v>1-1</v>
      </c>
      <c r="R87" s="3" t="str">
        <f t="shared" si="12"/>
        <v>1-1</v>
      </c>
      <c r="S87" s="3" t="str">
        <f t="shared" si="12"/>
        <v>6-6</v>
      </c>
      <c r="T87" s="3">
        <f t="shared" si="16"/>
        <v>6</v>
      </c>
    </row>
    <row r="88" spans="1:20" s="3" customFormat="1">
      <c r="A88" s="3" t="s">
        <v>45</v>
      </c>
      <c r="B88" s="3" t="s">
        <v>460</v>
      </c>
      <c r="C88" s="3" t="s">
        <v>8</v>
      </c>
      <c r="D88" s="3" t="s">
        <v>173</v>
      </c>
      <c r="E88" s="3">
        <v>1</v>
      </c>
      <c r="F88" s="3">
        <v>1</v>
      </c>
      <c r="G88" s="3">
        <v>0</v>
      </c>
      <c r="H88" s="3">
        <v>0</v>
      </c>
      <c r="N88" s="3">
        <v>12</v>
      </c>
      <c r="O88" s="3">
        <v>14</v>
      </c>
      <c r="Q88" s="3" t="str">
        <f t="shared" si="13"/>
        <v>1-1</v>
      </c>
      <c r="R88" s="3" t="str">
        <f t="shared" si="12"/>
        <v>1-1</v>
      </c>
      <c r="S88" s="3" t="str">
        <f t="shared" si="12"/>
        <v>6-6</v>
      </c>
      <c r="T88" s="3">
        <f t="shared" si="16"/>
        <v>6</v>
      </c>
    </row>
    <row r="89" spans="1:20" s="3" customFormat="1">
      <c r="A89" s="3" t="s">
        <v>46</v>
      </c>
      <c r="B89" s="3" t="s">
        <v>458</v>
      </c>
      <c r="C89" s="3" t="s">
        <v>8</v>
      </c>
      <c r="D89" s="3" t="s">
        <v>174</v>
      </c>
      <c r="E89" s="3">
        <v>1</v>
      </c>
      <c r="F89" s="3">
        <v>1</v>
      </c>
      <c r="G89" s="3">
        <v>0</v>
      </c>
      <c r="H89" s="3">
        <v>0</v>
      </c>
      <c r="N89" s="3">
        <v>12</v>
      </c>
      <c r="O89" s="3">
        <v>14</v>
      </c>
      <c r="Q89" s="3" t="str">
        <f t="shared" si="13"/>
        <v>1-1</v>
      </c>
      <c r="R89" s="3" t="str">
        <f t="shared" si="12"/>
        <v>1-1</v>
      </c>
      <c r="S89" s="3" t="str">
        <f t="shared" si="12"/>
        <v>6-6</v>
      </c>
      <c r="T89" s="3">
        <f t="shared" si="16"/>
        <v>6</v>
      </c>
    </row>
    <row r="90" spans="1:20" s="3" customFormat="1">
      <c r="A90" s="3" t="s">
        <v>766</v>
      </c>
      <c r="B90" s="3" t="s">
        <v>768</v>
      </c>
      <c r="C90" s="3" t="s">
        <v>8</v>
      </c>
      <c r="D90" s="3" t="s">
        <v>175</v>
      </c>
      <c r="E90" s="3">
        <v>1</v>
      </c>
      <c r="F90" s="3">
        <v>1</v>
      </c>
      <c r="G90" s="3">
        <v>0</v>
      </c>
      <c r="H90" s="3">
        <v>0</v>
      </c>
      <c r="N90" s="3">
        <v>12</v>
      </c>
      <c r="O90" s="3">
        <v>14</v>
      </c>
      <c r="P90" s="3">
        <v>50</v>
      </c>
      <c r="Q90" s="3" t="str">
        <f t="shared" si="13"/>
        <v>1-1</v>
      </c>
      <c r="R90" s="3" t="str">
        <f t="shared" si="12"/>
        <v>1-1</v>
      </c>
      <c r="S90" s="3" t="str">
        <f t="shared" si="12"/>
        <v>6-6</v>
      </c>
      <c r="T90" s="3">
        <f t="shared" ref="T90" si="18">_xlfn.LET(_xlpm.a,($E90+S$3*$G90)*(1+S$2),_xlpm.b,($F90+S$3*$H90)*(1+S$2),_xlpm.a/2+_xlpm.b/2)</f>
        <v>6</v>
      </c>
    </row>
    <row r="91" spans="1:20" s="3" customFormat="1">
      <c r="A91" s="3" t="s">
        <v>446</v>
      </c>
      <c r="B91" s="3" t="s">
        <v>459</v>
      </c>
      <c r="C91" s="3" t="s">
        <v>8</v>
      </c>
      <c r="D91" s="3" t="s">
        <v>756</v>
      </c>
      <c r="E91" s="3">
        <v>1</v>
      </c>
      <c r="F91" s="3">
        <v>1</v>
      </c>
      <c r="G91" s="3">
        <v>0</v>
      </c>
      <c r="H91" s="3">
        <v>0</v>
      </c>
      <c r="M91" s="3" t="s">
        <v>572</v>
      </c>
      <c r="N91" s="3">
        <v>12</v>
      </c>
      <c r="O91" s="3">
        <v>14</v>
      </c>
      <c r="P91" s="3">
        <v>70</v>
      </c>
      <c r="Q91" s="3" t="str">
        <f t="shared" si="13"/>
        <v>1-1</v>
      </c>
      <c r="R91" s="3" t="str">
        <f t="shared" si="12"/>
        <v>1-1</v>
      </c>
      <c r="S91" s="3" t="str">
        <f t="shared" si="12"/>
        <v>6-6</v>
      </c>
      <c r="T91" s="3">
        <f t="shared" si="16"/>
        <v>6</v>
      </c>
    </row>
    <row r="92" spans="1:20" s="3" customFormat="1">
      <c r="A92" s="3" t="s">
        <v>447</v>
      </c>
      <c r="B92" s="3" t="s">
        <v>474</v>
      </c>
      <c r="C92" s="3" t="s">
        <v>8</v>
      </c>
      <c r="D92" s="3" t="s">
        <v>757</v>
      </c>
      <c r="E92" s="3">
        <v>1</v>
      </c>
      <c r="F92" s="3">
        <v>1</v>
      </c>
      <c r="G92" s="3">
        <v>0</v>
      </c>
      <c r="H92" s="3">
        <v>0</v>
      </c>
      <c r="M92" s="3" t="s">
        <v>572</v>
      </c>
      <c r="N92" s="3">
        <v>12</v>
      </c>
      <c r="O92" s="3">
        <v>14</v>
      </c>
      <c r="P92" s="3">
        <v>70</v>
      </c>
      <c r="Q92" s="3" t="str">
        <f t="shared" si="13"/>
        <v>1-1</v>
      </c>
      <c r="R92" s="3" t="str">
        <f t="shared" si="12"/>
        <v>1-1</v>
      </c>
      <c r="S92" s="3" t="str">
        <f t="shared" si="12"/>
        <v>6-6</v>
      </c>
      <c r="T92" s="3">
        <f t="shared" si="16"/>
        <v>6</v>
      </c>
    </row>
    <row r="93" spans="1:20" s="3" customFormat="1">
      <c r="A93" s="3" t="s">
        <v>47</v>
      </c>
      <c r="B93" s="3" t="s">
        <v>455</v>
      </c>
      <c r="C93" s="3" t="s">
        <v>8</v>
      </c>
      <c r="D93" s="3" t="s">
        <v>763</v>
      </c>
      <c r="E93" s="3">
        <v>1</v>
      </c>
      <c r="F93" s="3">
        <v>1</v>
      </c>
      <c r="G93" s="3">
        <v>0</v>
      </c>
      <c r="H93" s="3">
        <v>0</v>
      </c>
      <c r="M93" s="3" t="s">
        <v>394</v>
      </c>
      <c r="N93" s="3">
        <v>12</v>
      </c>
      <c r="O93" s="3">
        <v>14</v>
      </c>
      <c r="P93" s="3">
        <v>50</v>
      </c>
      <c r="Q93" s="3" t="str">
        <f t="shared" si="13"/>
        <v>1-1</v>
      </c>
      <c r="R93" s="3" t="str">
        <f t="shared" si="12"/>
        <v>1-1</v>
      </c>
      <c r="S93" s="3" t="str">
        <f t="shared" si="12"/>
        <v>6-6</v>
      </c>
      <c r="T93" s="3">
        <f t="shared" si="16"/>
        <v>6</v>
      </c>
    </row>
    <row r="94" spans="1:20" s="3" customFormat="1">
      <c r="A94" s="3" t="s">
        <v>48</v>
      </c>
      <c r="B94" s="3" t="s">
        <v>464</v>
      </c>
      <c r="C94" s="3" t="s">
        <v>8</v>
      </c>
      <c r="D94" s="3" t="s">
        <v>176</v>
      </c>
      <c r="E94" s="3">
        <v>1</v>
      </c>
      <c r="F94" s="3">
        <v>1</v>
      </c>
      <c r="G94" s="3">
        <v>0</v>
      </c>
      <c r="H94" s="3">
        <v>0</v>
      </c>
      <c r="N94" s="3">
        <v>12</v>
      </c>
      <c r="O94" s="3">
        <v>14</v>
      </c>
      <c r="Q94" s="3" t="str">
        <f t="shared" si="13"/>
        <v>1-1</v>
      </c>
      <c r="R94" s="3" t="str">
        <f t="shared" si="12"/>
        <v>1-1</v>
      </c>
      <c r="S94" s="3" t="str">
        <f t="shared" si="12"/>
        <v>6-6</v>
      </c>
      <c r="T94" s="3">
        <f t="shared" si="16"/>
        <v>6</v>
      </c>
    </row>
    <row r="95" spans="1:20" s="3" customFormat="1">
      <c r="A95" s="3" t="s">
        <v>49</v>
      </c>
      <c r="B95" s="3" t="s">
        <v>462</v>
      </c>
      <c r="C95" s="3" t="s">
        <v>8</v>
      </c>
      <c r="D95" s="3" t="s">
        <v>177</v>
      </c>
      <c r="E95" s="3">
        <v>1</v>
      </c>
      <c r="F95" s="3">
        <v>1</v>
      </c>
      <c r="G95" s="3">
        <v>0</v>
      </c>
      <c r="H95" s="3">
        <v>0</v>
      </c>
      <c r="N95" s="3">
        <v>12</v>
      </c>
      <c r="O95" s="3">
        <v>14</v>
      </c>
      <c r="Q95" s="3" t="str">
        <f t="shared" si="13"/>
        <v>1-1</v>
      </c>
      <c r="R95" s="3" t="str">
        <f t="shared" si="12"/>
        <v>1-1</v>
      </c>
      <c r="S95" s="3" t="str">
        <f t="shared" si="12"/>
        <v>6-6</v>
      </c>
      <c r="T95" s="3">
        <f t="shared" si="16"/>
        <v>6</v>
      </c>
    </row>
    <row r="96" spans="1:20" s="3" customFormat="1">
      <c r="A96" s="3" t="s">
        <v>769</v>
      </c>
      <c r="B96" s="3" t="s">
        <v>770</v>
      </c>
      <c r="C96" s="3" t="s">
        <v>8</v>
      </c>
      <c r="D96" s="3" t="s">
        <v>178</v>
      </c>
      <c r="E96" s="3">
        <v>1</v>
      </c>
      <c r="F96" s="3">
        <v>1</v>
      </c>
      <c r="G96" s="3">
        <v>0</v>
      </c>
      <c r="H96" s="3">
        <v>0</v>
      </c>
      <c r="N96" s="3">
        <v>12</v>
      </c>
      <c r="O96" s="3">
        <v>14</v>
      </c>
      <c r="P96" s="3">
        <v>50</v>
      </c>
      <c r="Q96" s="3" t="str">
        <f t="shared" si="13"/>
        <v>1-1</v>
      </c>
      <c r="R96" s="3" t="str">
        <f t="shared" si="12"/>
        <v>1-1</v>
      </c>
      <c r="S96" s="3" t="str">
        <f t="shared" si="12"/>
        <v>6-6</v>
      </c>
      <c r="T96" s="3">
        <f t="shared" ref="T96" si="19">_xlfn.LET(_xlpm.a,($E96+S$3*$G96)*(1+S$2),_xlpm.b,($F96+S$3*$H96)*(1+S$2),_xlpm.a/2+_xlpm.b/2)</f>
        <v>6</v>
      </c>
    </row>
    <row r="97" spans="1:20" s="3" customFormat="1">
      <c r="A97" s="3" t="s">
        <v>448</v>
      </c>
      <c r="B97" s="3" t="s">
        <v>463</v>
      </c>
      <c r="C97" s="3" t="s">
        <v>8</v>
      </c>
      <c r="D97" s="3" t="s">
        <v>758</v>
      </c>
      <c r="E97" s="3">
        <v>1</v>
      </c>
      <c r="F97" s="3">
        <v>1</v>
      </c>
      <c r="G97" s="3">
        <v>0</v>
      </c>
      <c r="H97" s="3">
        <v>0</v>
      </c>
      <c r="M97" s="3" t="s">
        <v>572</v>
      </c>
      <c r="N97" s="3">
        <v>12</v>
      </c>
      <c r="O97" s="3">
        <v>14</v>
      </c>
      <c r="P97" s="3">
        <v>70</v>
      </c>
      <c r="Q97" s="3" t="str">
        <f t="shared" si="13"/>
        <v>1-1</v>
      </c>
      <c r="R97" s="3" t="str">
        <f t="shared" si="12"/>
        <v>1-1</v>
      </c>
      <c r="S97" s="3" t="str">
        <f t="shared" si="12"/>
        <v>6-6</v>
      </c>
      <c r="T97" s="3">
        <f t="shared" si="16"/>
        <v>6</v>
      </c>
    </row>
    <row r="98" spans="1:20" s="3" customFormat="1">
      <c r="A98" s="3" t="s">
        <v>449</v>
      </c>
      <c r="B98" s="3" t="s">
        <v>461</v>
      </c>
      <c r="C98" s="3" t="s">
        <v>8</v>
      </c>
      <c r="D98" s="3" t="s">
        <v>759</v>
      </c>
      <c r="E98" s="3">
        <v>1</v>
      </c>
      <c r="F98" s="3">
        <v>1</v>
      </c>
      <c r="G98" s="3">
        <v>0</v>
      </c>
      <c r="H98" s="3">
        <v>0</v>
      </c>
      <c r="M98" s="3" t="s">
        <v>572</v>
      </c>
      <c r="N98" s="3">
        <v>12</v>
      </c>
      <c r="O98" s="3">
        <v>14</v>
      </c>
      <c r="P98" s="3">
        <v>70</v>
      </c>
      <c r="Q98" s="3" t="str">
        <f t="shared" si="13"/>
        <v>1-1</v>
      </c>
      <c r="R98" s="3" t="str">
        <f t="shared" si="12"/>
        <v>1-1</v>
      </c>
      <c r="S98" s="3" t="str">
        <f t="shared" si="12"/>
        <v>6-6</v>
      </c>
      <c r="T98" s="3">
        <f t="shared" si="16"/>
        <v>6</v>
      </c>
    </row>
    <row r="99" spans="1:20" s="3" customFormat="1">
      <c r="A99" s="3" t="s">
        <v>50</v>
      </c>
      <c r="B99" s="3" t="s">
        <v>456</v>
      </c>
      <c r="C99" s="3" t="s">
        <v>8</v>
      </c>
      <c r="D99" s="3" t="s">
        <v>764</v>
      </c>
      <c r="E99" s="3">
        <v>1</v>
      </c>
      <c r="F99" s="3">
        <v>1</v>
      </c>
      <c r="G99" s="3">
        <v>0</v>
      </c>
      <c r="H99" s="3">
        <v>0</v>
      </c>
      <c r="M99" s="3" t="s">
        <v>394</v>
      </c>
      <c r="N99" s="3">
        <v>12</v>
      </c>
      <c r="O99" s="3">
        <v>14</v>
      </c>
      <c r="P99" s="3">
        <v>50</v>
      </c>
      <c r="Q99" s="3" t="str">
        <f t="shared" si="13"/>
        <v>1-1</v>
      </c>
      <c r="R99" s="3" t="str">
        <f t="shared" si="12"/>
        <v>1-1</v>
      </c>
      <c r="S99" s="3" t="str">
        <f t="shared" si="12"/>
        <v>6-6</v>
      </c>
      <c r="T99" s="3">
        <f t="shared" si="16"/>
        <v>6</v>
      </c>
    </row>
    <row r="100" spans="1:20" s="3" customFormat="1">
      <c r="A100" s="3" t="s">
        <v>51</v>
      </c>
      <c r="B100" s="3" t="s">
        <v>465</v>
      </c>
      <c r="C100" s="3" t="s">
        <v>8</v>
      </c>
      <c r="D100" s="3" t="s">
        <v>179</v>
      </c>
      <c r="E100" s="3">
        <v>1</v>
      </c>
      <c r="F100" s="3">
        <v>1</v>
      </c>
      <c r="G100" s="3">
        <v>0</v>
      </c>
      <c r="H100" s="3">
        <v>0</v>
      </c>
      <c r="M100" s="3" t="s">
        <v>394</v>
      </c>
      <c r="N100" s="3">
        <v>12</v>
      </c>
      <c r="O100" s="3">
        <v>14</v>
      </c>
      <c r="P100" s="3">
        <v>50</v>
      </c>
      <c r="Q100" s="3" t="str">
        <f t="shared" si="13"/>
        <v>1-1</v>
      </c>
      <c r="R100" s="3" t="str">
        <f t="shared" si="12"/>
        <v>1-1</v>
      </c>
      <c r="S100" s="3" t="str">
        <f t="shared" si="12"/>
        <v>6-6</v>
      </c>
      <c r="T100" s="3">
        <f t="shared" si="16"/>
        <v>6</v>
      </c>
    </row>
    <row r="101" spans="1:20" s="3" customFormat="1">
      <c r="A101" s="3" t="s">
        <v>52</v>
      </c>
      <c r="B101" s="3" t="s">
        <v>466</v>
      </c>
      <c r="C101" s="3" t="s">
        <v>8</v>
      </c>
      <c r="D101" s="3" t="s">
        <v>180</v>
      </c>
      <c r="E101" s="3">
        <v>1</v>
      </c>
      <c r="F101" s="3">
        <v>1</v>
      </c>
      <c r="G101" s="3">
        <v>0</v>
      </c>
      <c r="H101" s="3">
        <v>0</v>
      </c>
      <c r="M101" s="3" t="s">
        <v>394</v>
      </c>
      <c r="N101" s="3">
        <v>12</v>
      </c>
      <c r="O101" s="3">
        <v>14</v>
      </c>
      <c r="P101" s="3">
        <v>50</v>
      </c>
      <c r="Q101" s="3" t="str">
        <f t="shared" si="13"/>
        <v>1-1</v>
      </c>
      <c r="R101" s="3" t="str">
        <f t="shared" si="12"/>
        <v>1-1</v>
      </c>
      <c r="S101" s="3" t="str">
        <f t="shared" si="12"/>
        <v>6-6</v>
      </c>
      <c r="T101" s="3">
        <f t="shared" si="16"/>
        <v>6</v>
      </c>
    </row>
    <row r="102" spans="1:20" s="3" customFormat="1">
      <c r="A102" s="3" t="s">
        <v>53</v>
      </c>
      <c r="B102" s="3" t="s">
        <v>467</v>
      </c>
      <c r="C102" s="3" t="s">
        <v>8</v>
      </c>
      <c r="D102" s="3" t="s">
        <v>181</v>
      </c>
      <c r="E102" s="3">
        <v>1</v>
      </c>
      <c r="F102" s="3">
        <v>1</v>
      </c>
      <c r="G102" s="3">
        <v>0</v>
      </c>
      <c r="H102" s="3">
        <v>0</v>
      </c>
      <c r="M102" s="3" t="s">
        <v>394</v>
      </c>
      <c r="N102" s="3">
        <v>12</v>
      </c>
      <c r="O102" s="3">
        <v>14</v>
      </c>
      <c r="P102" s="3">
        <v>50</v>
      </c>
      <c r="Q102" s="3" t="str">
        <f t="shared" si="13"/>
        <v>1-1</v>
      </c>
      <c r="R102" s="3" t="str">
        <f t="shared" si="13"/>
        <v>1-1</v>
      </c>
      <c r="S102" s="3" t="str">
        <f t="shared" si="13"/>
        <v>6-6</v>
      </c>
      <c r="T102" s="3">
        <f t="shared" si="16"/>
        <v>6</v>
      </c>
    </row>
    <row r="103" spans="1:20" s="3" customFormat="1">
      <c r="A103" s="3" t="s">
        <v>647</v>
      </c>
      <c r="B103" s="3" t="s">
        <v>451</v>
      </c>
      <c r="C103" s="3" t="s">
        <v>8</v>
      </c>
      <c r="D103" s="3" t="s">
        <v>163</v>
      </c>
      <c r="E103" s="3">
        <v>1</v>
      </c>
      <c r="F103" s="3">
        <v>1</v>
      </c>
      <c r="G103" s="3">
        <v>0</v>
      </c>
      <c r="H103" s="3">
        <v>0.25</v>
      </c>
      <c r="N103" s="3">
        <v>25</v>
      </c>
      <c r="O103" s="3">
        <v>28</v>
      </c>
      <c r="Q103" s="3" t="str">
        <f t="shared" si="13"/>
        <v>1-1</v>
      </c>
      <c r="R103" s="3" t="str">
        <f t="shared" si="12"/>
        <v>1-2</v>
      </c>
      <c r="S103" s="3" t="str">
        <f t="shared" si="12"/>
        <v>6-12</v>
      </c>
      <c r="T103" s="3">
        <f t="shared" si="16"/>
        <v>9</v>
      </c>
    </row>
    <row r="104" spans="1:20" s="3" customFormat="1">
      <c r="A104" s="3" t="s">
        <v>648</v>
      </c>
      <c r="B104" s="3" t="s">
        <v>453</v>
      </c>
      <c r="C104" s="3" t="s">
        <v>8</v>
      </c>
      <c r="D104" s="3" t="s">
        <v>164</v>
      </c>
      <c r="E104" s="3">
        <v>1</v>
      </c>
      <c r="F104" s="3">
        <v>1</v>
      </c>
      <c r="G104" s="3">
        <v>0</v>
      </c>
      <c r="H104" s="3">
        <v>0.25</v>
      </c>
      <c r="N104" s="3">
        <v>25</v>
      </c>
      <c r="O104" s="3">
        <v>28</v>
      </c>
      <c r="Q104" s="3" t="str">
        <f t="shared" si="13"/>
        <v>1-1</v>
      </c>
      <c r="R104" s="3" t="str">
        <f t="shared" si="12"/>
        <v>1-2</v>
      </c>
      <c r="S104" s="3" t="str">
        <f t="shared" si="12"/>
        <v>6-12</v>
      </c>
      <c r="T104" s="3">
        <f t="shared" si="16"/>
        <v>9</v>
      </c>
    </row>
    <row r="105" spans="1:20" s="3" customFormat="1">
      <c r="A105" s="3" t="s">
        <v>771</v>
      </c>
      <c r="B105" s="3" t="s">
        <v>765</v>
      </c>
      <c r="C105" s="3" t="s">
        <v>8</v>
      </c>
      <c r="D105" s="3" t="s">
        <v>165</v>
      </c>
      <c r="E105" s="3">
        <v>1</v>
      </c>
      <c r="F105" s="3">
        <v>1</v>
      </c>
      <c r="G105" s="3">
        <v>0</v>
      </c>
      <c r="H105" s="3">
        <v>0.25</v>
      </c>
      <c r="N105" s="3">
        <v>12</v>
      </c>
      <c r="O105" s="3">
        <v>14</v>
      </c>
      <c r="P105" s="3">
        <v>50</v>
      </c>
      <c r="Q105" s="3" t="str">
        <f t="shared" si="13"/>
        <v>1-1</v>
      </c>
      <c r="R105" s="3" t="str">
        <f t="shared" si="12"/>
        <v>1-2</v>
      </c>
      <c r="S105" s="3" t="str">
        <f t="shared" si="12"/>
        <v>6-12</v>
      </c>
      <c r="T105" s="3">
        <f t="shared" si="16"/>
        <v>9</v>
      </c>
    </row>
    <row r="106" spans="1:20" s="3" customFormat="1">
      <c r="A106" s="3" t="s">
        <v>649</v>
      </c>
      <c r="B106" s="3" t="s">
        <v>450</v>
      </c>
      <c r="C106" s="3" t="s">
        <v>8</v>
      </c>
      <c r="D106" s="3" t="s">
        <v>754</v>
      </c>
      <c r="E106" s="3">
        <v>1</v>
      </c>
      <c r="F106" s="3">
        <v>1</v>
      </c>
      <c r="G106" s="3">
        <v>0</v>
      </c>
      <c r="H106" s="3">
        <v>0.25</v>
      </c>
      <c r="M106" s="3" t="s">
        <v>572</v>
      </c>
      <c r="N106" s="3">
        <v>25</v>
      </c>
      <c r="O106" s="3">
        <v>28</v>
      </c>
      <c r="P106" s="3">
        <v>70</v>
      </c>
      <c r="Q106" s="3" t="str">
        <f t="shared" si="13"/>
        <v>1-1</v>
      </c>
      <c r="R106" s="3" t="str">
        <f t="shared" si="12"/>
        <v>1-2</v>
      </c>
      <c r="S106" s="3" t="str">
        <f t="shared" si="12"/>
        <v>6-12</v>
      </c>
      <c r="T106" s="3">
        <f t="shared" si="16"/>
        <v>9</v>
      </c>
    </row>
    <row r="107" spans="1:20" s="3" customFormat="1">
      <c r="A107" s="3" t="s">
        <v>650</v>
      </c>
      <c r="B107" s="3" t="s">
        <v>452</v>
      </c>
      <c r="C107" s="3" t="s">
        <v>8</v>
      </c>
      <c r="D107" s="3" t="s">
        <v>755</v>
      </c>
      <c r="E107" s="3">
        <v>1</v>
      </c>
      <c r="F107" s="3">
        <v>1</v>
      </c>
      <c r="G107" s="3">
        <v>0</v>
      </c>
      <c r="H107" s="3">
        <v>0.25</v>
      </c>
      <c r="M107" s="3" t="s">
        <v>572</v>
      </c>
      <c r="N107" s="3">
        <v>25</v>
      </c>
      <c r="O107" s="3">
        <v>28</v>
      </c>
      <c r="P107" s="3">
        <v>70</v>
      </c>
      <c r="Q107" s="3" t="str">
        <f t="shared" si="13"/>
        <v>1-1</v>
      </c>
      <c r="R107" s="3" t="str">
        <f t="shared" si="12"/>
        <v>1-2</v>
      </c>
      <c r="S107" s="3" t="str">
        <f t="shared" si="12"/>
        <v>6-12</v>
      </c>
      <c r="T107" s="3">
        <f t="shared" si="16"/>
        <v>9</v>
      </c>
    </row>
    <row r="108" spans="1:20" s="3" customFormat="1">
      <c r="A108" s="3" t="s">
        <v>651</v>
      </c>
      <c r="B108" s="3" t="s">
        <v>454</v>
      </c>
      <c r="C108" s="3" t="s">
        <v>8</v>
      </c>
      <c r="D108" s="3" t="s">
        <v>762</v>
      </c>
      <c r="E108" s="3">
        <v>1</v>
      </c>
      <c r="F108" s="3">
        <v>1</v>
      </c>
      <c r="G108" s="3">
        <v>0</v>
      </c>
      <c r="H108" s="3">
        <v>0.25</v>
      </c>
      <c r="M108" s="3" t="s">
        <v>394</v>
      </c>
      <c r="N108" s="3">
        <v>25</v>
      </c>
      <c r="O108" s="3">
        <v>28</v>
      </c>
      <c r="P108" s="3">
        <v>50</v>
      </c>
      <c r="Q108" s="3" t="str">
        <f t="shared" si="13"/>
        <v>1-1</v>
      </c>
      <c r="R108" s="3" t="str">
        <f t="shared" si="12"/>
        <v>1-2</v>
      </c>
      <c r="S108" s="3" t="str">
        <f t="shared" si="12"/>
        <v>6-12</v>
      </c>
      <c r="T108" s="3">
        <f t="shared" si="16"/>
        <v>9</v>
      </c>
    </row>
    <row r="109" spans="1:20" s="3" customFormat="1">
      <c r="A109" s="3" t="s">
        <v>652</v>
      </c>
      <c r="B109" s="3" t="s">
        <v>460</v>
      </c>
      <c r="C109" s="3" t="s">
        <v>8</v>
      </c>
      <c r="D109" s="3" t="s">
        <v>173</v>
      </c>
      <c r="E109" s="3">
        <v>1</v>
      </c>
      <c r="F109" s="3">
        <v>1</v>
      </c>
      <c r="G109" s="3">
        <v>0</v>
      </c>
      <c r="H109" s="3">
        <v>0.25</v>
      </c>
      <c r="N109" s="3">
        <v>25</v>
      </c>
      <c r="O109" s="3">
        <v>28</v>
      </c>
      <c r="Q109" s="3" t="str">
        <f t="shared" si="13"/>
        <v>1-1</v>
      </c>
      <c r="R109" s="3" t="str">
        <f t="shared" si="12"/>
        <v>1-2</v>
      </c>
      <c r="S109" s="3" t="str">
        <f t="shared" si="12"/>
        <v>6-12</v>
      </c>
      <c r="T109" s="3">
        <f t="shared" si="16"/>
        <v>9</v>
      </c>
    </row>
    <row r="110" spans="1:20" s="3" customFormat="1">
      <c r="A110" s="3" t="s">
        <v>653</v>
      </c>
      <c r="B110" s="3" t="s">
        <v>458</v>
      </c>
      <c r="C110" s="3" t="s">
        <v>8</v>
      </c>
      <c r="D110" s="3" t="s">
        <v>174</v>
      </c>
      <c r="E110" s="3">
        <v>1</v>
      </c>
      <c r="F110" s="3">
        <v>1</v>
      </c>
      <c r="G110" s="3">
        <v>0</v>
      </c>
      <c r="H110" s="3">
        <v>0.25</v>
      </c>
      <c r="N110" s="3">
        <v>25</v>
      </c>
      <c r="O110" s="3">
        <v>28</v>
      </c>
      <c r="Q110" s="3" t="str">
        <f t="shared" si="13"/>
        <v>1-1</v>
      </c>
      <c r="R110" s="3" t="str">
        <f t="shared" si="12"/>
        <v>1-2</v>
      </c>
      <c r="S110" s="3" t="str">
        <f t="shared" si="12"/>
        <v>6-12</v>
      </c>
      <c r="T110" s="3">
        <f t="shared" si="16"/>
        <v>9</v>
      </c>
    </row>
    <row r="111" spans="1:20" s="3" customFormat="1">
      <c r="A111" s="3" t="s">
        <v>772</v>
      </c>
      <c r="B111" s="3" t="s">
        <v>768</v>
      </c>
      <c r="C111" s="3" t="s">
        <v>8</v>
      </c>
      <c r="D111" s="3" t="s">
        <v>175</v>
      </c>
      <c r="E111" s="3">
        <v>1</v>
      </c>
      <c r="F111" s="3">
        <v>1</v>
      </c>
      <c r="G111" s="3">
        <v>0</v>
      </c>
      <c r="H111" s="3">
        <v>0.25</v>
      </c>
      <c r="N111" s="3">
        <v>12</v>
      </c>
      <c r="O111" s="3">
        <v>14</v>
      </c>
      <c r="P111" s="3">
        <v>50</v>
      </c>
      <c r="Q111" s="3" t="str">
        <f t="shared" si="13"/>
        <v>1-1</v>
      </c>
      <c r="R111" s="3" t="str">
        <f t="shared" si="12"/>
        <v>1-2</v>
      </c>
      <c r="S111" s="3" t="str">
        <f t="shared" si="12"/>
        <v>6-12</v>
      </c>
      <c r="T111" s="3">
        <f t="shared" si="16"/>
        <v>9</v>
      </c>
    </row>
    <row r="112" spans="1:20" s="3" customFormat="1">
      <c r="A112" s="3" t="s">
        <v>654</v>
      </c>
      <c r="B112" s="3" t="s">
        <v>459</v>
      </c>
      <c r="C112" s="3" t="s">
        <v>8</v>
      </c>
      <c r="D112" s="3" t="s">
        <v>756</v>
      </c>
      <c r="E112" s="3">
        <v>1</v>
      </c>
      <c r="F112" s="3">
        <v>1</v>
      </c>
      <c r="G112" s="3">
        <v>0</v>
      </c>
      <c r="H112" s="3">
        <v>0.25</v>
      </c>
      <c r="M112" s="3" t="s">
        <v>572</v>
      </c>
      <c r="N112" s="3">
        <v>25</v>
      </c>
      <c r="O112" s="3">
        <v>28</v>
      </c>
      <c r="P112" s="3">
        <v>70</v>
      </c>
      <c r="Q112" s="3" t="str">
        <f t="shared" si="13"/>
        <v>1-1</v>
      </c>
      <c r="R112" s="3" t="str">
        <f t="shared" si="12"/>
        <v>1-2</v>
      </c>
      <c r="S112" s="3" t="str">
        <f t="shared" si="12"/>
        <v>6-12</v>
      </c>
      <c r="T112" s="3">
        <f t="shared" si="16"/>
        <v>9</v>
      </c>
    </row>
    <row r="113" spans="1:20" s="3" customFormat="1">
      <c r="A113" s="3" t="s">
        <v>655</v>
      </c>
      <c r="B113" s="3" t="s">
        <v>474</v>
      </c>
      <c r="C113" s="3" t="s">
        <v>8</v>
      </c>
      <c r="D113" s="3" t="s">
        <v>757</v>
      </c>
      <c r="E113" s="3">
        <v>1</v>
      </c>
      <c r="F113" s="3">
        <v>1</v>
      </c>
      <c r="G113" s="3">
        <v>0</v>
      </c>
      <c r="H113" s="3">
        <v>0.25</v>
      </c>
      <c r="M113" s="3" t="s">
        <v>572</v>
      </c>
      <c r="N113" s="3">
        <v>25</v>
      </c>
      <c r="O113" s="3">
        <v>28</v>
      </c>
      <c r="P113" s="3">
        <v>70</v>
      </c>
      <c r="Q113" s="3" t="str">
        <f t="shared" si="13"/>
        <v>1-1</v>
      </c>
      <c r="R113" s="3" t="str">
        <f t="shared" si="12"/>
        <v>1-2</v>
      </c>
      <c r="S113" s="3" t="str">
        <f t="shared" si="12"/>
        <v>6-12</v>
      </c>
      <c r="T113" s="3">
        <f t="shared" si="16"/>
        <v>9</v>
      </c>
    </row>
    <row r="114" spans="1:20" s="3" customFormat="1">
      <c r="A114" s="3" t="s">
        <v>656</v>
      </c>
      <c r="B114" s="3" t="s">
        <v>455</v>
      </c>
      <c r="C114" s="3" t="s">
        <v>8</v>
      </c>
      <c r="D114" s="3" t="s">
        <v>763</v>
      </c>
      <c r="E114" s="3">
        <v>1</v>
      </c>
      <c r="F114" s="3">
        <v>1</v>
      </c>
      <c r="G114" s="3">
        <v>0</v>
      </c>
      <c r="H114" s="3">
        <v>0.25</v>
      </c>
      <c r="M114" s="3" t="s">
        <v>394</v>
      </c>
      <c r="N114" s="3">
        <v>25</v>
      </c>
      <c r="O114" s="3">
        <v>28</v>
      </c>
      <c r="P114" s="3">
        <v>50</v>
      </c>
      <c r="Q114" s="3" t="str">
        <f t="shared" si="13"/>
        <v>1-1</v>
      </c>
      <c r="R114" s="3" t="str">
        <f t="shared" si="12"/>
        <v>1-2</v>
      </c>
      <c r="S114" s="3" t="str">
        <f t="shared" si="12"/>
        <v>6-12</v>
      </c>
      <c r="T114" s="3">
        <f t="shared" si="16"/>
        <v>9</v>
      </c>
    </row>
    <row r="115" spans="1:20" s="3" customFormat="1">
      <c r="A115" s="3" t="s">
        <v>657</v>
      </c>
      <c r="B115" s="3" t="s">
        <v>464</v>
      </c>
      <c r="C115" s="3" t="s">
        <v>8</v>
      </c>
      <c r="D115" s="3" t="s">
        <v>176</v>
      </c>
      <c r="E115" s="3">
        <v>1</v>
      </c>
      <c r="F115" s="3">
        <v>1</v>
      </c>
      <c r="G115" s="3">
        <v>0</v>
      </c>
      <c r="H115" s="3">
        <v>0.25</v>
      </c>
      <c r="N115" s="3">
        <v>25</v>
      </c>
      <c r="O115" s="3">
        <v>28</v>
      </c>
      <c r="Q115" s="3" t="str">
        <f t="shared" si="13"/>
        <v>1-1</v>
      </c>
      <c r="R115" s="3" t="str">
        <f t="shared" si="12"/>
        <v>1-2</v>
      </c>
      <c r="S115" s="3" t="str">
        <f t="shared" si="12"/>
        <v>6-12</v>
      </c>
      <c r="T115" s="3">
        <f t="shared" si="16"/>
        <v>9</v>
      </c>
    </row>
    <row r="116" spans="1:20" s="3" customFormat="1">
      <c r="A116" s="3" t="s">
        <v>658</v>
      </c>
      <c r="B116" s="3" t="s">
        <v>462</v>
      </c>
      <c r="C116" s="3" t="s">
        <v>8</v>
      </c>
      <c r="D116" s="3" t="s">
        <v>177</v>
      </c>
      <c r="E116" s="3">
        <v>1</v>
      </c>
      <c r="F116" s="3">
        <v>1</v>
      </c>
      <c r="G116" s="3">
        <v>0</v>
      </c>
      <c r="H116" s="3">
        <v>0.25</v>
      </c>
      <c r="N116" s="3">
        <v>25</v>
      </c>
      <c r="O116" s="3">
        <v>28</v>
      </c>
      <c r="Q116" s="3" t="str">
        <f t="shared" si="13"/>
        <v>1-1</v>
      </c>
      <c r="R116" s="3" t="str">
        <f t="shared" si="12"/>
        <v>1-2</v>
      </c>
      <c r="S116" s="3" t="str">
        <f t="shared" si="12"/>
        <v>6-12</v>
      </c>
      <c r="T116" s="3">
        <f t="shared" si="16"/>
        <v>9</v>
      </c>
    </row>
    <row r="117" spans="1:20" s="3" customFormat="1">
      <c r="A117" s="3" t="s">
        <v>773</v>
      </c>
      <c r="B117" s="3" t="s">
        <v>770</v>
      </c>
      <c r="C117" s="3" t="s">
        <v>8</v>
      </c>
      <c r="D117" s="3" t="s">
        <v>178</v>
      </c>
      <c r="E117" s="3">
        <v>1</v>
      </c>
      <c r="F117" s="3">
        <v>1</v>
      </c>
      <c r="G117" s="3">
        <v>0</v>
      </c>
      <c r="H117" s="3">
        <v>0.25</v>
      </c>
      <c r="N117" s="3">
        <v>12</v>
      </c>
      <c r="O117" s="3">
        <v>14</v>
      </c>
      <c r="P117" s="3">
        <v>50</v>
      </c>
      <c r="Q117" s="3" t="str">
        <f t="shared" si="13"/>
        <v>1-1</v>
      </c>
      <c r="R117" s="3" t="str">
        <f t="shared" si="12"/>
        <v>1-2</v>
      </c>
      <c r="S117" s="3" t="str">
        <f t="shared" si="12"/>
        <v>6-12</v>
      </c>
      <c r="T117" s="3">
        <f t="shared" si="16"/>
        <v>9</v>
      </c>
    </row>
    <row r="118" spans="1:20" s="3" customFormat="1">
      <c r="A118" s="3" t="s">
        <v>659</v>
      </c>
      <c r="B118" s="3" t="s">
        <v>463</v>
      </c>
      <c r="C118" s="3" t="s">
        <v>8</v>
      </c>
      <c r="D118" s="3" t="s">
        <v>758</v>
      </c>
      <c r="E118" s="3">
        <v>1</v>
      </c>
      <c r="F118" s="3">
        <v>1</v>
      </c>
      <c r="G118" s="3">
        <v>0</v>
      </c>
      <c r="H118" s="3">
        <v>0.25</v>
      </c>
      <c r="M118" s="3" t="s">
        <v>572</v>
      </c>
      <c r="N118" s="3">
        <v>25</v>
      </c>
      <c r="O118" s="3">
        <v>28</v>
      </c>
      <c r="P118" s="3">
        <v>70</v>
      </c>
      <c r="Q118" s="3" t="str">
        <f t="shared" si="13"/>
        <v>1-1</v>
      </c>
      <c r="R118" s="3" t="str">
        <f t="shared" si="12"/>
        <v>1-2</v>
      </c>
      <c r="S118" s="3" t="str">
        <f t="shared" si="12"/>
        <v>6-12</v>
      </c>
      <c r="T118" s="3">
        <f t="shared" si="16"/>
        <v>9</v>
      </c>
    </row>
    <row r="119" spans="1:20" s="3" customFormat="1">
      <c r="A119" s="3" t="s">
        <v>660</v>
      </c>
      <c r="B119" s="3" t="s">
        <v>461</v>
      </c>
      <c r="C119" s="3" t="s">
        <v>8</v>
      </c>
      <c r="D119" s="3" t="s">
        <v>759</v>
      </c>
      <c r="E119" s="3">
        <v>1</v>
      </c>
      <c r="F119" s="3">
        <v>1</v>
      </c>
      <c r="G119" s="3">
        <v>0</v>
      </c>
      <c r="H119" s="3">
        <v>0.25</v>
      </c>
      <c r="M119" s="3" t="s">
        <v>572</v>
      </c>
      <c r="N119" s="3">
        <v>25</v>
      </c>
      <c r="O119" s="3">
        <v>28</v>
      </c>
      <c r="P119" s="3">
        <v>70</v>
      </c>
      <c r="Q119" s="3" t="str">
        <f t="shared" si="13"/>
        <v>1-1</v>
      </c>
      <c r="R119" s="3" t="str">
        <f t="shared" si="12"/>
        <v>1-2</v>
      </c>
      <c r="S119" s="3" t="str">
        <f t="shared" si="12"/>
        <v>6-12</v>
      </c>
      <c r="T119" s="3">
        <f t="shared" si="16"/>
        <v>9</v>
      </c>
    </row>
    <row r="120" spans="1:20" s="3" customFormat="1">
      <c r="A120" s="3" t="s">
        <v>661</v>
      </c>
      <c r="B120" s="3" t="s">
        <v>456</v>
      </c>
      <c r="C120" s="3" t="s">
        <v>8</v>
      </c>
      <c r="D120" s="3" t="s">
        <v>764</v>
      </c>
      <c r="E120" s="3">
        <v>1</v>
      </c>
      <c r="F120" s="3">
        <v>1</v>
      </c>
      <c r="G120" s="3">
        <v>0</v>
      </c>
      <c r="H120" s="3">
        <v>0.25</v>
      </c>
      <c r="M120" s="3" t="s">
        <v>394</v>
      </c>
      <c r="N120" s="3">
        <v>25</v>
      </c>
      <c r="O120" s="3">
        <v>28</v>
      </c>
      <c r="P120" s="3">
        <v>50</v>
      </c>
      <c r="Q120" s="3" t="str">
        <f t="shared" si="13"/>
        <v>1-1</v>
      </c>
      <c r="R120" s="3" t="str">
        <f t="shared" si="12"/>
        <v>1-2</v>
      </c>
      <c r="S120" s="3" t="str">
        <f t="shared" si="12"/>
        <v>6-12</v>
      </c>
      <c r="T120" s="3">
        <f t="shared" si="16"/>
        <v>9</v>
      </c>
    </row>
    <row r="121" spans="1:20" s="3" customFormat="1">
      <c r="A121" s="3" t="s">
        <v>662</v>
      </c>
      <c r="B121" s="3" t="s">
        <v>465</v>
      </c>
      <c r="C121" s="3" t="s">
        <v>8</v>
      </c>
      <c r="D121" s="3" t="s">
        <v>179</v>
      </c>
      <c r="E121" s="3">
        <v>1</v>
      </c>
      <c r="F121" s="3">
        <v>1</v>
      </c>
      <c r="G121" s="3">
        <v>0</v>
      </c>
      <c r="H121" s="3">
        <v>0.25</v>
      </c>
      <c r="M121" s="3" t="s">
        <v>394</v>
      </c>
      <c r="N121" s="3">
        <v>25</v>
      </c>
      <c r="O121" s="3">
        <v>28</v>
      </c>
      <c r="P121" s="3">
        <v>50</v>
      </c>
      <c r="Q121" s="3" t="str">
        <f t="shared" si="13"/>
        <v>1-1</v>
      </c>
      <c r="R121" s="3" t="str">
        <f t="shared" si="12"/>
        <v>1-2</v>
      </c>
      <c r="S121" s="3" t="str">
        <f t="shared" si="12"/>
        <v>6-12</v>
      </c>
      <c r="T121" s="3">
        <f t="shared" si="16"/>
        <v>9</v>
      </c>
    </row>
    <row r="122" spans="1:20" s="3" customFormat="1">
      <c r="A122" s="3" t="s">
        <v>663</v>
      </c>
      <c r="B122" s="3" t="s">
        <v>466</v>
      </c>
      <c r="C122" s="3" t="s">
        <v>8</v>
      </c>
      <c r="D122" s="3" t="s">
        <v>180</v>
      </c>
      <c r="E122" s="3">
        <v>1</v>
      </c>
      <c r="F122" s="3">
        <v>1</v>
      </c>
      <c r="G122" s="3">
        <v>0</v>
      </c>
      <c r="H122" s="3">
        <v>0.25</v>
      </c>
      <c r="M122" s="3" t="s">
        <v>394</v>
      </c>
      <c r="N122" s="3">
        <v>25</v>
      </c>
      <c r="O122" s="3">
        <v>28</v>
      </c>
      <c r="P122" s="3">
        <v>50</v>
      </c>
      <c r="Q122" s="3" t="str">
        <f t="shared" si="13"/>
        <v>1-1</v>
      </c>
      <c r="R122" s="3" t="str">
        <f t="shared" si="12"/>
        <v>1-2</v>
      </c>
      <c r="S122" s="3" t="str">
        <f t="shared" si="12"/>
        <v>6-12</v>
      </c>
      <c r="T122" s="3">
        <f t="shared" si="16"/>
        <v>9</v>
      </c>
    </row>
    <row r="123" spans="1:20" s="3" customFormat="1">
      <c r="A123" s="3" t="s">
        <v>664</v>
      </c>
      <c r="B123" s="3" t="s">
        <v>467</v>
      </c>
      <c r="C123" s="3" t="s">
        <v>8</v>
      </c>
      <c r="D123" s="3" t="s">
        <v>181</v>
      </c>
      <c r="E123" s="3">
        <v>1</v>
      </c>
      <c r="F123" s="3">
        <v>1</v>
      </c>
      <c r="G123" s="3">
        <v>0</v>
      </c>
      <c r="H123" s="3">
        <v>0.25</v>
      </c>
      <c r="M123" s="3" t="s">
        <v>394</v>
      </c>
      <c r="N123" s="3">
        <v>25</v>
      </c>
      <c r="O123" s="3">
        <v>28</v>
      </c>
      <c r="P123" s="3">
        <v>50</v>
      </c>
      <c r="Q123" s="3" t="str">
        <f t="shared" si="13"/>
        <v>1-1</v>
      </c>
      <c r="R123" s="3" t="str">
        <f t="shared" si="13"/>
        <v>1-2</v>
      </c>
      <c r="S123" s="3" t="str">
        <f t="shared" si="13"/>
        <v>6-12</v>
      </c>
      <c r="T123" s="3">
        <f t="shared" si="16"/>
        <v>9</v>
      </c>
    </row>
    <row r="124" spans="1:20" s="3" customFormat="1">
      <c r="A124" s="3" t="s">
        <v>665</v>
      </c>
      <c r="B124" s="3" t="s">
        <v>451</v>
      </c>
      <c r="C124" s="3" t="s">
        <v>8</v>
      </c>
      <c r="D124" s="3" t="s">
        <v>163</v>
      </c>
      <c r="E124" s="3">
        <v>1</v>
      </c>
      <c r="F124" s="3">
        <v>1</v>
      </c>
      <c r="G124" s="3">
        <v>0</v>
      </c>
      <c r="H124" s="3">
        <v>0.5</v>
      </c>
      <c r="N124" s="3">
        <v>31</v>
      </c>
      <c r="O124" s="3">
        <v>35</v>
      </c>
      <c r="Q124" s="3" t="str">
        <f t="shared" si="13"/>
        <v>1-1</v>
      </c>
      <c r="R124" s="3" t="str">
        <f t="shared" si="12"/>
        <v>1-3</v>
      </c>
      <c r="S124" s="3" t="str">
        <f t="shared" si="12"/>
        <v>6-18</v>
      </c>
      <c r="T124" s="3">
        <f t="shared" si="3"/>
        <v>12</v>
      </c>
    </row>
    <row r="125" spans="1:20" s="3" customFormat="1">
      <c r="A125" s="3" t="s">
        <v>666</v>
      </c>
      <c r="B125" s="3" t="s">
        <v>453</v>
      </c>
      <c r="C125" s="3" t="s">
        <v>8</v>
      </c>
      <c r="D125" s="3" t="s">
        <v>164</v>
      </c>
      <c r="E125" s="3">
        <v>1</v>
      </c>
      <c r="F125" s="3">
        <v>1</v>
      </c>
      <c r="G125" s="3">
        <v>0</v>
      </c>
      <c r="H125" s="3">
        <v>0.5</v>
      </c>
      <c r="N125" s="3">
        <v>31</v>
      </c>
      <c r="O125" s="3">
        <v>35</v>
      </c>
      <c r="Q125" s="3" t="str">
        <f t="shared" si="13"/>
        <v>1-1</v>
      </c>
      <c r="R125" s="3" t="str">
        <f t="shared" si="12"/>
        <v>1-3</v>
      </c>
      <c r="S125" s="3" t="str">
        <f t="shared" si="12"/>
        <v>6-18</v>
      </c>
      <c r="T125" s="3">
        <f t="shared" si="3"/>
        <v>12</v>
      </c>
    </row>
    <row r="126" spans="1:20" s="3" customFormat="1">
      <c r="A126" s="3" t="s">
        <v>774</v>
      </c>
      <c r="B126" s="3" t="s">
        <v>765</v>
      </c>
      <c r="C126" s="3" t="s">
        <v>8</v>
      </c>
      <c r="D126" s="3" t="s">
        <v>165</v>
      </c>
      <c r="E126" s="3">
        <v>1</v>
      </c>
      <c r="F126" s="3">
        <v>1</v>
      </c>
      <c r="G126" s="3">
        <v>0</v>
      </c>
      <c r="H126" s="3">
        <v>0.5</v>
      </c>
      <c r="N126" s="3">
        <v>12</v>
      </c>
      <c r="O126" s="3">
        <v>14</v>
      </c>
      <c r="P126" s="3">
        <v>50</v>
      </c>
      <c r="Q126" s="3" t="str">
        <f t="shared" si="13"/>
        <v>1-1</v>
      </c>
      <c r="R126" s="3" t="str">
        <f t="shared" si="12"/>
        <v>1-3</v>
      </c>
      <c r="S126" s="3" t="str">
        <f t="shared" si="12"/>
        <v>6-18</v>
      </c>
      <c r="T126" s="3">
        <f t="shared" si="3"/>
        <v>12</v>
      </c>
    </row>
    <row r="127" spans="1:20" s="3" customFormat="1">
      <c r="A127" s="3" t="s">
        <v>667</v>
      </c>
      <c r="B127" s="3" t="s">
        <v>450</v>
      </c>
      <c r="C127" s="3" t="s">
        <v>8</v>
      </c>
      <c r="D127" s="3" t="s">
        <v>754</v>
      </c>
      <c r="E127" s="3">
        <v>1</v>
      </c>
      <c r="F127" s="3">
        <v>1</v>
      </c>
      <c r="G127" s="3">
        <v>0</v>
      </c>
      <c r="H127" s="3">
        <v>0.5</v>
      </c>
      <c r="M127" s="3" t="s">
        <v>572</v>
      </c>
      <c r="N127" s="3">
        <v>31</v>
      </c>
      <c r="O127" s="3">
        <v>35</v>
      </c>
      <c r="P127" s="3">
        <v>70</v>
      </c>
      <c r="Q127" s="3" t="str">
        <f t="shared" si="13"/>
        <v>1-1</v>
      </c>
      <c r="R127" s="3" t="str">
        <f t="shared" si="12"/>
        <v>1-3</v>
      </c>
      <c r="S127" s="3" t="str">
        <f t="shared" si="12"/>
        <v>6-18</v>
      </c>
      <c r="T127" s="3">
        <f t="shared" ref="T127:T128" si="20">_xlfn.LET(_xlpm.a,($E127+S$3*$G127)*(1+S$2),_xlpm.b,($F127+S$3*$H127)*(1+S$2),_xlpm.a/2+_xlpm.b/2)</f>
        <v>12</v>
      </c>
    </row>
    <row r="128" spans="1:20" s="3" customFormat="1">
      <c r="A128" s="3" t="s">
        <v>668</v>
      </c>
      <c r="B128" s="3" t="s">
        <v>452</v>
      </c>
      <c r="C128" s="3" t="s">
        <v>8</v>
      </c>
      <c r="D128" s="3" t="s">
        <v>755</v>
      </c>
      <c r="E128" s="3">
        <v>1</v>
      </c>
      <c r="F128" s="3">
        <v>1</v>
      </c>
      <c r="G128" s="3">
        <v>0</v>
      </c>
      <c r="H128" s="3">
        <v>0.5</v>
      </c>
      <c r="M128" s="3" t="s">
        <v>572</v>
      </c>
      <c r="N128" s="3">
        <v>31</v>
      </c>
      <c r="O128" s="3">
        <v>35</v>
      </c>
      <c r="P128" s="3">
        <v>70</v>
      </c>
      <c r="Q128" s="3" t="str">
        <f t="shared" si="13"/>
        <v>1-1</v>
      </c>
      <c r="R128" s="3" t="str">
        <f t="shared" si="12"/>
        <v>1-3</v>
      </c>
      <c r="S128" s="3" t="str">
        <f t="shared" si="12"/>
        <v>6-18</v>
      </c>
      <c r="T128" s="3">
        <f t="shared" si="20"/>
        <v>12</v>
      </c>
    </row>
    <row r="129" spans="1:20" s="3" customFormat="1">
      <c r="A129" s="3" t="s">
        <v>669</v>
      </c>
      <c r="B129" s="3" t="s">
        <v>454</v>
      </c>
      <c r="C129" s="3" t="s">
        <v>8</v>
      </c>
      <c r="D129" s="3" t="s">
        <v>762</v>
      </c>
      <c r="E129" s="3">
        <v>1</v>
      </c>
      <c r="F129" s="3">
        <v>1</v>
      </c>
      <c r="G129" s="3">
        <v>0</v>
      </c>
      <c r="H129" s="3">
        <v>0.5</v>
      </c>
      <c r="M129" s="3" t="s">
        <v>394</v>
      </c>
      <c r="N129" s="3">
        <v>31</v>
      </c>
      <c r="O129" s="3">
        <v>35</v>
      </c>
      <c r="P129" s="3">
        <v>50</v>
      </c>
      <c r="Q129" s="3" t="str">
        <f t="shared" si="13"/>
        <v>1-1</v>
      </c>
      <c r="R129" s="3" t="str">
        <f t="shared" si="12"/>
        <v>1-3</v>
      </c>
      <c r="S129" s="3" t="str">
        <f t="shared" si="12"/>
        <v>6-18</v>
      </c>
      <c r="T129" s="3">
        <f t="shared" si="3"/>
        <v>12</v>
      </c>
    </row>
    <row r="130" spans="1:20" s="3" customFormat="1">
      <c r="A130" s="3" t="s">
        <v>670</v>
      </c>
      <c r="B130" s="3" t="s">
        <v>460</v>
      </c>
      <c r="C130" s="3" t="s">
        <v>8</v>
      </c>
      <c r="D130" s="3" t="s">
        <v>173</v>
      </c>
      <c r="E130" s="3">
        <v>1</v>
      </c>
      <c r="F130" s="3">
        <v>1</v>
      </c>
      <c r="G130" s="3">
        <v>0</v>
      </c>
      <c r="H130" s="3">
        <v>0.5</v>
      </c>
      <c r="N130" s="3">
        <v>31</v>
      </c>
      <c r="O130" s="3">
        <v>35</v>
      </c>
      <c r="Q130" s="3" t="str">
        <f t="shared" si="13"/>
        <v>1-1</v>
      </c>
      <c r="R130" s="3" t="str">
        <f t="shared" si="12"/>
        <v>1-3</v>
      </c>
      <c r="S130" s="3" t="str">
        <f t="shared" si="12"/>
        <v>6-18</v>
      </c>
      <c r="T130" s="3">
        <f t="shared" si="3"/>
        <v>12</v>
      </c>
    </row>
    <row r="131" spans="1:20" s="3" customFormat="1">
      <c r="A131" s="3" t="s">
        <v>671</v>
      </c>
      <c r="B131" s="3" t="s">
        <v>458</v>
      </c>
      <c r="C131" s="3" t="s">
        <v>8</v>
      </c>
      <c r="D131" s="3" t="s">
        <v>174</v>
      </c>
      <c r="E131" s="3">
        <v>1</v>
      </c>
      <c r="F131" s="3">
        <v>1</v>
      </c>
      <c r="G131" s="3">
        <v>0</v>
      </c>
      <c r="H131" s="3">
        <v>0.5</v>
      </c>
      <c r="N131" s="3">
        <v>31</v>
      </c>
      <c r="O131" s="3">
        <v>35</v>
      </c>
      <c r="Q131" s="3" t="str">
        <f t="shared" si="13"/>
        <v>1-1</v>
      </c>
      <c r="R131" s="3" t="str">
        <f t="shared" si="12"/>
        <v>1-3</v>
      </c>
      <c r="S131" s="3" t="str">
        <f t="shared" si="12"/>
        <v>6-18</v>
      </c>
      <c r="T131" s="3">
        <f t="shared" si="3"/>
        <v>12</v>
      </c>
    </row>
    <row r="132" spans="1:20" s="3" customFormat="1">
      <c r="A132" s="3" t="s">
        <v>775</v>
      </c>
      <c r="B132" s="3" t="s">
        <v>768</v>
      </c>
      <c r="C132" s="3" t="s">
        <v>8</v>
      </c>
      <c r="D132" s="3" t="s">
        <v>175</v>
      </c>
      <c r="E132" s="3">
        <v>1</v>
      </c>
      <c r="F132" s="3">
        <v>1</v>
      </c>
      <c r="G132" s="3">
        <v>0</v>
      </c>
      <c r="H132" s="3">
        <v>0.5</v>
      </c>
      <c r="N132" s="3">
        <v>12</v>
      </c>
      <c r="O132" s="3">
        <v>14</v>
      </c>
      <c r="P132" s="3">
        <v>50</v>
      </c>
      <c r="Q132" s="3" t="str">
        <f t="shared" si="13"/>
        <v>1-1</v>
      </c>
      <c r="R132" s="3" t="str">
        <f t="shared" si="12"/>
        <v>1-3</v>
      </c>
      <c r="S132" s="3" t="str">
        <f t="shared" si="12"/>
        <v>6-18</v>
      </c>
      <c r="T132" s="3">
        <f t="shared" si="3"/>
        <v>12</v>
      </c>
    </row>
    <row r="133" spans="1:20" s="3" customFormat="1">
      <c r="A133" s="3" t="s">
        <v>672</v>
      </c>
      <c r="B133" s="3" t="s">
        <v>459</v>
      </c>
      <c r="C133" s="3" t="s">
        <v>8</v>
      </c>
      <c r="D133" s="3" t="s">
        <v>756</v>
      </c>
      <c r="E133" s="3">
        <v>1</v>
      </c>
      <c r="F133" s="3">
        <v>1</v>
      </c>
      <c r="G133" s="3">
        <v>0</v>
      </c>
      <c r="H133" s="3">
        <v>0.5</v>
      </c>
      <c r="M133" s="3" t="s">
        <v>572</v>
      </c>
      <c r="N133" s="3">
        <v>31</v>
      </c>
      <c r="O133" s="3">
        <v>35</v>
      </c>
      <c r="P133" s="3">
        <v>70</v>
      </c>
      <c r="Q133" s="3" t="str">
        <f t="shared" si="13"/>
        <v>1-1</v>
      </c>
      <c r="R133" s="3" t="str">
        <f t="shared" si="12"/>
        <v>1-3</v>
      </c>
      <c r="S133" s="3" t="str">
        <f t="shared" si="12"/>
        <v>6-18</v>
      </c>
      <c r="T133" s="3">
        <f t="shared" ref="T133:T134" si="21">_xlfn.LET(_xlpm.a,($E133+S$3*$G133)*(1+S$2),_xlpm.b,($F133+S$3*$H133)*(1+S$2),_xlpm.a/2+_xlpm.b/2)</f>
        <v>12</v>
      </c>
    </row>
    <row r="134" spans="1:20" s="3" customFormat="1">
      <c r="A134" s="3" t="s">
        <v>673</v>
      </c>
      <c r="B134" s="3" t="s">
        <v>474</v>
      </c>
      <c r="C134" s="3" t="s">
        <v>8</v>
      </c>
      <c r="D134" s="3" t="s">
        <v>757</v>
      </c>
      <c r="E134" s="3">
        <v>1</v>
      </c>
      <c r="F134" s="3">
        <v>1</v>
      </c>
      <c r="G134" s="3">
        <v>0</v>
      </c>
      <c r="H134" s="3">
        <v>0.5</v>
      </c>
      <c r="M134" s="3" t="s">
        <v>572</v>
      </c>
      <c r="N134" s="3">
        <v>31</v>
      </c>
      <c r="O134" s="3">
        <v>35</v>
      </c>
      <c r="P134" s="3">
        <v>70</v>
      </c>
      <c r="Q134" s="3" t="str">
        <f t="shared" si="13"/>
        <v>1-1</v>
      </c>
      <c r="R134" s="3" t="str">
        <f t="shared" si="12"/>
        <v>1-3</v>
      </c>
      <c r="S134" s="3" t="str">
        <f t="shared" si="12"/>
        <v>6-18</v>
      </c>
      <c r="T134" s="3">
        <f t="shared" si="21"/>
        <v>12</v>
      </c>
    </row>
    <row r="135" spans="1:20" s="3" customFormat="1">
      <c r="A135" s="3" t="s">
        <v>674</v>
      </c>
      <c r="B135" s="3" t="s">
        <v>455</v>
      </c>
      <c r="C135" s="3" t="s">
        <v>8</v>
      </c>
      <c r="D135" s="3" t="s">
        <v>763</v>
      </c>
      <c r="E135" s="3">
        <v>1</v>
      </c>
      <c r="F135" s="3">
        <v>1</v>
      </c>
      <c r="G135" s="3">
        <v>0</v>
      </c>
      <c r="H135" s="3">
        <v>0.5</v>
      </c>
      <c r="M135" s="3" t="s">
        <v>394</v>
      </c>
      <c r="N135" s="3">
        <v>31</v>
      </c>
      <c r="O135" s="3">
        <v>35</v>
      </c>
      <c r="P135" s="3">
        <v>50</v>
      </c>
      <c r="Q135" s="3" t="str">
        <f t="shared" si="13"/>
        <v>1-1</v>
      </c>
      <c r="R135" s="3" t="str">
        <f t="shared" si="12"/>
        <v>1-3</v>
      </c>
      <c r="S135" s="3" t="str">
        <f t="shared" si="12"/>
        <v>6-18</v>
      </c>
      <c r="T135" s="3">
        <f t="shared" si="3"/>
        <v>12</v>
      </c>
    </row>
    <row r="136" spans="1:20" s="3" customFormat="1">
      <c r="A136" s="3" t="s">
        <v>675</v>
      </c>
      <c r="B136" s="3" t="s">
        <v>464</v>
      </c>
      <c r="C136" s="3" t="s">
        <v>8</v>
      </c>
      <c r="D136" s="3" t="s">
        <v>176</v>
      </c>
      <c r="E136" s="3">
        <v>1</v>
      </c>
      <c r="F136" s="3">
        <v>1</v>
      </c>
      <c r="G136" s="3">
        <v>0</v>
      </c>
      <c r="H136" s="3">
        <v>0.5</v>
      </c>
      <c r="N136" s="3">
        <v>31</v>
      </c>
      <c r="O136" s="3">
        <v>35</v>
      </c>
      <c r="Q136" s="3" t="str">
        <f t="shared" si="13"/>
        <v>1-1</v>
      </c>
      <c r="R136" s="3" t="str">
        <f t="shared" si="12"/>
        <v>1-3</v>
      </c>
      <c r="S136" s="3" t="str">
        <f t="shared" si="12"/>
        <v>6-18</v>
      </c>
      <c r="T136" s="3">
        <f t="shared" si="3"/>
        <v>12</v>
      </c>
    </row>
    <row r="137" spans="1:20" s="3" customFormat="1">
      <c r="A137" s="3" t="s">
        <v>676</v>
      </c>
      <c r="B137" s="3" t="s">
        <v>462</v>
      </c>
      <c r="C137" s="3" t="s">
        <v>8</v>
      </c>
      <c r="D137" s="3" t="s">
        <v>177</v>
      </c>
      <c r="E137" s="3">
        <v>1</v>
      </c>
      <c r="F137" s="3">
        <v>1</v>
      </c>
      <c r="G137" s="3">
        <v>0</v>
      </c>
      <c r="H137" s="3">
        <v>0.5</v>
      </c>
      <c r="N137" s="3">
        <v>31</v>
      </c>
      <c r="O137" s="3">
        <v>35</v>
      </c>
      <c r="Q137" s="3" t="str">
        <f t="shared" si="13"/>
        <v>1-1</v>
      </c>
      <c r="R137" s="3" t="str">
        <f t="shared" si="12"/>
        <v>1-3</v>
      </c>
      <c r="S137" s="3" t="str">
        <f t="shared" si="12"/>
        <v>6-18</v>
      </c>
      <c r="T137" s="3">
        <f t="shared" si="3"/>
        <v>12</v>
      </c>
    </row>
    <row r="138" spans="1:20" s="3" customFormat="1">
      <c r="A138" s="3" t="s">
        <v>776</v>
      </c>
      <c r="B138" s="3" t="s">
        <v>770</v>
      </c>
      <c r="C138" s="3" t="s">
        <v>8</v>
      </c>
      <c r="D138" s="3" t="s">
        <v>178</v>
      </c>
      <c r="E138" s="3">
        <v>1</v>
      </c>
      <c r="F138" s="3">
        <v>1</v>
      </c>
      <c r="G138" s="3">
        <v>0</v>
      </c>
      <c r="H138" s="3">
        <v>0.5</v>
      </c>
      <c r="N138" s="3">
        <v>12</v>
      </c>
      <c r="O138" s="3">
        <v>14</v>
      </c>
      <c r="P138" s="3">
        <v>50</v>
      </c>
      <c r="Q138" s="3" t="str">
        <f t="shared" si="13"/>
        <v>1-1</v>
      </c>
      <c r="R138" s="3" t="str">
        <f t="shared" si="12"/>
        <v>1-3</v>
      </c>
      <c r="S138" s="3" t="str">
        <f t="shared" si="12"/>
        <v>6-18</v>
      </c>
      <c r="T138" s="3">
        <f t="shared" si="3"/>
        <v>12</v>
      </c>
    </row>
    <row r="139" spans="1:20" s="3" customFormat="1">
      <c r="A139" s="3" t="s">
        <v>677</v>
      </c>
      <c r="B139" s="3" t="s">
        <v>463</v>
      </c>
      <c r="C139" s="3" t="s">
        <v>8</v>
      </c>
      <c r="D139" s="3" t="s">
        <v>758</v>
      </c>
      <c r="E139" s="3">
        <v>1</v>
      </c>
      <c r="F139" s="3">
        <v>1</v>
      </c>
      <c r="G139" s="3">
        <v>0</v>
      </c>
      <c r="H139" s="3">
        <v>0.5</v>
      </c>
      <c r="M139" s="3" t="s">
        <v>572</v>
      </c>
      <c r="N139" s="3">
        <v>31</v>
      </c>
      <c r="O139" s="3">
        <v>35</v>
      </c>
      <c r="P139" s="3">
        <v>70</v>
      </c>
      <c r="Q139" s="3" t="str">
        <f t="shared" si="13"/>
        <v>1-1</v>
      </c>
      <c r="R139" s="3" t="str">
        <f t="shared" si="12"/>
        <v>1-3</v>
      </c>
      <c r="S139" s="3" t="str">
        <f t="shared" si="12"/>
        <v>6-18</v>
      </c>
      <c r="T139" s="3">
        <f t="shared" ref="T139:T140" si="22">_xlfn.LET(_xlpm.a,($E139+S$3*$G139)*(1+S$2),_xlpm.b,($F139+S$3*$H139)*(1+S$2),_xlpm.a/2+_xlpm.b/2)</f>
        <v>12</v>
      </c>
    </row>
    <row r="140" spans="1:20" s="3" customFormat="1">
      <c r="A140" s="3" t="s">
        <v>678</v>
      </c>
      <c r="B140" s="3" t="s">
        <v>461</v>
      </c>
      <c r="C140" s="3" t="s">
        <v>8</v>
      </c>
      <c r="D140" s="3" t="s">
        <v>759</v>
      </c>
      <c r="E140" s="3">
        <v>1</v>
      </c>
      <c r="F140" s="3">
        <v>1</v>
      </c>
      <c r="G140" s="3">
        <v>0</v>
      </c>
      <c r="H140" s="3">
        <v>0.5</v>
      </c>
      <c r="M140" s="3" t="s">
        <v>572</v>
      </c>
      <c r="N140" s="3">
        <v>31</v>
      </c>
      <c r="O140" s="3">
        <v>35</v>
      </c>
      <c r="P140" s="3">
        <v>70</v>
      </c>
      <c r="Q140" s="3" t="str">
        <f t="shared" si="13"/>
        <v>1-1</v>
      </c>
      <c r="R140" s="3" t="str">
        <f t="shared" si="12"/>
        <v>1-3</v>
      </c>
      <c r="S140" s="3" t="str">
        <f t="shared" si="12"/>
        <v>6-18</v>
      </c>
      <c r="T140" s="3">
        <f t="shared" si="22"/>
        <v>12</v>
      </c>
    </row>
    <row r="141" spans="1:20" s="3" customFormat="1">
      <c r="A141" s="3" t="s">
        <v>679</v>
      </c>
      <c r="B141" s="3" t="s">
        <v>456</v>
      </c>
      <c r="C141" s="3" t="s">
        <v>8</v>
      </c>
      <c r="D141" s="3" t="s">
        <v>764</v>
      </c>
      <c r="E141" s="3">
        <v>1</v>
      </c>
      <c r="F141" s="3">
        <v>1</v>
      </c>
      <c r="G141" s="3">
        <v>0</v>
      </c>
      <c r="H141" s="3">
        <v>0.5</v>
      </c>
      <c r="M141" s="3" t="s">
        <v>394</v>
      </c>
      <c r="N141" s="3">
        <v>31</v>
      </c>
      <c r="O141" s="3">
        <v>35</v>
      </c>
      <c r="P141" s="3">
        <v>50</v>
      </c>
      <c r="Q141" s="3" t="str">
        <f t="shared" si="13"/>
        <v>1-1</v>
      </c>
      <c r="R141" s="3" t="str">
        <f t="shared" si="12"/>
        <v>1-3</v>
      </c>
      <c r="S141" s="3" t="str">
        <f t="shared" si="12"/>
        <v>6-18</v>
      </c>
      <c r="T141" s="3">
        <f t="shared" si="3"/>
        <v>12</v>
      </c>
    </row>
    <row r="142" spans="1:20" s="3" customFormat="1">
      <c r="A142" s="3" t="s">
        <v>680</v>
      </c>
      <c r="B142" s="3" t="s">
        <v>466</v>
      </c>
      <c r="C142" s="3" t="s">
        <v>8</v>
      </c>
      <c r="D142" s="3" t="s">
        <v>180</v>
      </c>
      <c r="E142" s="3">
        <v>1</v>
      </c>
      <c r="F142" s="3">
        <v>1</v>
      </c>
      <c r="G142" s="3">
        <v>0</v>
      </c>
      <c r="H142" s="3">
        <v>0.5</v>
      </c>
      <c r="M142" s="3" t="s">
        <v>394</v>
      </c>
      <c r="N142" s="3">
        <v>31</v>
      </c>
      <c r="O142" s="3">
        <v>35</v>
      </c>
      <c r="P142" s="3">
        <v>50</v>
      </c>
      <c r="Q142" s="3" t="str">
        <f t="shared" si="13"/>
        <v>1-1</v>
      </c>
      <c r="R142" s="3" t="str">
        <f t="shared" si="12"/>
        <v>1-3</v>
      </c>
      <c r="S142" s="3" t="str">
        <f t="shared" si="12"/>
        <v>6-18</v>
      </c>
      <c r="T142" s="3">
        <f t="shared" si="3"/>
        <v>12</v>
      </c>
    </row>
    <row r="143" spans="1:20" s="3" customFormat="1">
      <c r="A143" s="3" t="s">
        <v>681</v>
      </c>
      <c r="B143" s="3" t="s">
        <v>467</v>
      </c>
      <c r="C143" s="3" t="s">
        <v>8</v>
      </c>
      <c r="D143" s="3" t="s">
        <v>181</v>
      </c>
      <c r="E143" s="3">
        <v>1</v>
      </c>
      <c r="F143" s="3">
        <v>1</v>
      </c>
      <c r="G143" s="3">
        <v>0</v>
      </c>
      <c r="H143" s="3">
        <v>0.5</v>
      </c>
      <c r="M143" s="3" t="s">
        <v>394</v>
      </c>
      <c r="N143" s="3">
        <v>31</v>
      </c>
      <c r="O143" s="3">
        <v>35</v>
      </c>
      <c r="P143" s="3">
        <v>50</v>
      </c>
      <c r="Q143" s="3" t="str">
        <f t="shared" si="13"/>
        <v>1-1</v>
      </c>
      <c r="R143" s="3" t="str">
        <f t="shared" si="13"/>
        <v>1-3</v>
      </c>
      <c r="S143" s="3" t="str">
        <f t="shared" si="13"/>
        <v>6-18</v>
      </c>
      <c r="T143" s="3">
        <f t="shared" si="3"/>
        <v>12</v>
      </c>
    </row>
    <row r="144" spans="1:20">
      <c r="A144" s="1" t="s">
        <v>37</v>
      </c>
      <c r="B144" s="1" t="s">
        <v>468</v>
      </c>
      <c r="C144" s="1" t="s">
        <v>8</v>
      </c>
      <c r="D144" s="1" t="s">
        <v>182</v>
      </c>
      <c r="E144" s="1">
        <v>3</v>
      </c>
      <c r="F144" s="1">
        <v>10</v>
      </c>
      <c r="G144" s="1">
        <v>1</v>
      </c>
      <c r="H144" s="1">
        <v>7.5</v>
      </c>
      <c r="M144" s="1" t="s">
        <v>584</v>
      </c>
      <c r="P144" s="3">
        <v>100</v>
      </c>
      <c r="Q144" s="1" t="str">
        <f t="shared" si="13"/>
        <v>3-10</v>
      </c>
      <c r="R144" s="1" t="str">
        <f t="shared" si="13"/>
        <v>7-40</v>
      </c>
      <c r="S144" s="1" t="str">
        <f t="shared" si="13"/>
        <v>42-240</v>
      </c>
      <c r="T144" s="1">
        <f t="shared" si="3"/>
        <v>141</v>
      </c>
    </row>
    <row r="145" spans="1:20">
      <c r="A145" s="1" t="s">
        <v>38</v>
      </c>
      <c r="B145" s="1" t="s">
        <v>469</v>
      </c>
      <c r="C145" s="1" t="s">
        <v>8</v>
      </c>
      <c r="D145" s="1" t="s">
        <v>183</v>
      </c>
      <c r="E145" s="1">
        <v>10</v>
      </c>
      <c r="F145" s="1">
        <v>30</v>
      </c>
      <c r="G145" s="1">
        <v>5</v>
      </c>
      <c r="H145" s="1">
        <v>20</v>
      </c>
      <c r="M145" s="1" t="s">
        <v>584</v>
      </c>
      <c r="P145" s="1">
        <v>100</v>
      </c>
      <c r="Q145" s="1" t="str">
        <f t="shared" si="13"/>
        <v>10-30</v>
      </c>
      <c r="R145" s="1" t="str">
        <f t="shared" si="13"/>
        <v>30-110</v>
      </c>
      <c r="S145" s="1" t="str">
        <f t="shared" si="13"/>
        <v>180-660</v>
      </c>
      <c r="T145" s="1">
        <f t="shared" si="3"/>
        <v>420</v>
      </c>
    </row>
    <row r="146" spans="1:20">
      <c r="A146" s="1" t="s">
        <v>395</v>
      </c>
      <c r="B146" s="1" t="s">
        <v>471</v>
      </c>
      <c r="C146" s="1" t="s">
        <v>8</v>
      </c>
      <c r="D146" s="1" t="s">
        <v>184</v>
      </c>
      <c r="E146" s="1">
        <v>1</v>
      </c>
      <c r="F146" s="1">
        <v>1</v>
      </c>
      <c r="G146" s="1">
        <v>0</v>
      </c>
      <c r="H146" s="1">
        <v>0</v>
      </c>
      <c r="M146" s="1" t="s">
        <v>573</v>
      </c>
      <c r="N146" s="1">
        <v>7</v>
      </c>
      <c r="P146" s="1">
        <v>100</v>
      </c>
      <c r="Q146" s="1" t="str">
        <f t="shared" si="13"/>
        <v>1-1</v>
      </c>
      <c r="R146" s="1" t="str">
        <f t="shared" si="13"/>
        <v>1-1</v>
      </c>
      <c r="S146" s="1" t="str">
        <f t="shared" si="13"/>
        <v>6-6</v>
      </c>
      <c r="T146" s="1">
        <f t="shared" ref="T146" si="23">_xlfn.LET(_xlpm.a,($E146+S$3*$G146)*(1+S$2),_xlpm.b,($F146+S$3*$H146)*(1+S$2),_xlpm.a/2+_xlpm.b/2)</f>
        <v>6</v>
      </c>
    </row>
    <row r="147" spans="1:20">
      <c r="A147" s="1" t="s">
        <v>193</v>
      </c>
      <c r="B147" s="1" t="s">
        <v>470</v>
      </c>
      <c r="C147" s="1" t="s">
        <v>8</v>
      </c>
      <c r="D147" s="1" t="s">
        <v>184</v>
      </c>
      <c r="E147" s="1">
        <v>1</v>
      </c>
      <c r="F147" s="1">
        <v>1</v>
      </c>
      <c r="G147" s="1">
        <v>0</v>
      </c>
      <c r="H147" s="1">
        <v>0.25</v>
      </c>
      <c r="M147" s="1" t="s">
        <v>574</v>
      </c>
      <c r="N147" s="1">
        <v>14</v>
      </c>
      <c r="P147" s="1">
        <v>100</v>
      </c>
      <c r="Q147" s="1" t="str">
        <f t="shared" si="13"/>
        <v>1-1</v>
      </c>
      <c r="R147" s="1" t="str">
        <f t="shared" si="13"/>
        <v>1-2</v>
      </c>
      <c r="S147" s="1" t="str">
        <f t="shared" si="13"/>
        <v>6-12</v>
      </c>
      <c r="T147" s="1">
        <f t="shared" si="3"/>
        <v>9</v>
      </c>
    </row>
    <row r="148" spans="1:20">
      <c r="A148" s="1" t="s">
        <v>194</v>
      </c>
      <c r="B148" s="1" t="s">
        <v>472</v>
      </c>
      <c r="C148" s="1" t="s">
        <v>8</v>
      </c>
      <c r="D148" s="1" t="s">
        <v>184</v>
      </c>
      <c r="E148" s="1">
        <v>1</v>
      </c>
      <c r="F148" s="1">
        <v>1</v>
      </c>
      <c r="G148" s="1">
        <v>0</v>
      </c>
      <c r="H148" s="1">
        <v>0.5</v>
      </c>
      <c r="M148" s="1" t="s">
        <v>575</v>
      </c>
      <c r="N148" s="1">
        <v>21</v>
      </c>
      <c r="P148" s="1">
        <v>100</v>
      </c>
      <c r="Q148" s="1" t="str">
        <f t="shared" si="13"/>
        <v>1-1</v>
      </c>
      <c r="R148" s="1" t="str">
        <f t="shared" si="13"/>
        <v>1-3</v>
      </c>
      <c r="S148" s="1" t="str">
        <f t="shared" si="13"/>
        <v>6-18</v>
      </c>
      <c r="T148" s="1">
        <f t="shared" si="3"/>
        <v>12</v>
      </c>
    </row>
    <row r="149" spans="1:20">
      <c r="A149" s="1" t="s">
        <v>195</v>
      </c>
      <c r="B149" s="1" t="s">
        <v>473</v>
      </c>
      <c r="C149" s="1" t="s">
        <v>8</v>
      </c>
      <c r="D149" s="1" t="s">
        <v>184</v>
      </c>
      <c r="E149" s="1">
        <v>1</v>
      </c>
      <c r="F149" s="1">
        <v>1</v>
      </c>
      <c r="G149" s="1">
        <v>0</v>
      </c>
      <c r="H149" s="1">
        <v>0.75</v>
      </c>
      <c r="M149" s="1" t="s">
        <v>576</v>
      </c>
      <c r="N149" s="1">
        <v>28</v>
      </c>
      <c r="P149" s="1">
        <v>100</v>
      </c>
      <c r="Q149" s="1" t="str">
        <f t="shared" ref="Q149:S165" si="24">_xlfn.LET(_xlpm.a,($E149+Q$3*$G149)*(1+Q$2),_xlpm.b,($F149+Q$3*$H149)*(1+Q$2),_xlpm.a&amp;"-"&amp;_xlpm.b)</f>
        <v>1-1</v>
      </c>
      <c r="R149" s="1" t="str">
        <f t="shared" si="24"/>
        <v>1-4</v>
      </c>
      <c r="S149" s="1" t="str">
        <f t="shared" si="24"/>
        <v>6-24</v>
      </c>
      <c r="T149" s="1">
        <f t="shared" si="3"/>
        <v>15</v>
      </c>
    </row>
    <row r="150" spans="1:20">
      <c r="A150" s="1" t="s">
        <v>196</v>
      </c>
      <c r="B150" s="1" t="s">
        <v>457</v>
      </c>
      <c r="C150" s="1" t="s">
        <v>8</v>
      </c>
      <c r="D150" s="1" t="s">
        <v>184</v>
      </c>
      <c r="E150" s="1">
        <v>1</v>
      </c>
      <c r="F150" s="1">
        <v>1</v>
      </c>
      <c r="G150" s="1">
        <v>0</v>
      </c>
      <c r="H150" s="1">
        <v>1</v>
      </c>
      <c r="M150" s="1" t="s">
        <v>577</v>
      </c>
      <c r="N150" s="1">
        <v>35</v>
      </c>
      <c r="P150" s="1">
        <v>100</v>
      </c>
      <c r="Q150" s="1" t="str">
        <f t="shared" si="24"/>
        <v>1-1</v>
      </c>
      <c r="R150" s="1" t="str">
        <f t="shared" si="24"/>
        <v>1-5</v>
      </c>
      <c r="S150" s="1" t="str">
        <f t="shared" si="24"/>
        <v>6-30</v>
      </c>
      <c r="T150" s="1">
        <f t="shared" si="3"/>
        <v>18</v>
      </c>
    </row>
    <row r="151" spans="1:20">
      <c r="A151" s="1" t="s">
        <v>90</v>
      </c>
      <c r="B151" s="1" t="s">
        <v>475</v>
      </c>
      <c r="C151" s="1" t="s">
        <v>39</v>
      </c>
      <c r="D151" s="1" t="s">
        <v>185</v>
      </c>
      <c r="E151" s="1">
        <v>1</v>
      </c>
      <c r="F151" s="1">
        <v>1</v>
      </c>
      <c r="G151" s="1">
        <v>0</v>
      </c>
      <c r="H151" s="1">
        <v>0</v>
      </c>
      <c r="Q151" s="1" t="str">
        <f t="shared" si="24"/>
        <v>1-1</v>
      </c>
      <c r="R151" s="1" t="str">
        <f t="shared" si="24"/>
        <v>1-1</v>
      </c>
      <c r="S151" s="1" t="str">
        <f t="shared" si="24"/>
        <v>6-6</v>
      </c>
      <c r="T151" s="1">
        <f t="shared" si="3"/>
        <v>6</v>
      </c>
    </row>
    <row r="152" spans="1:20">
      <c r="A152" s="1" t="s">
        <v>91</v>
      </c>
      <c r="B152" s="1" t="s">
        <v>476</v>
      </c>
      <c r="C152" s="1" t="s">
        <v>39</v>
      </c>
      <c r="D152" s="1" t="s">
        <v>186</v>
      </c>
      <c r="E152" s="1">
        <v>5</v>
      </c>
      <c r="F152" s="1">
        <v>10</v>
      </c>
      <c r="G152" s="1">
        <v>0</v>
      </c>
      <c r="H152" s="1">
        <v>5</v>
      </c>
      <c r="M152" s="1" t="s">
        <v>548</v>
      </c>
      <c r="P152" s="1">
        <v>100</v>
      </c>
      <c r="Q152" s="1" t="str">
        <f t="shared" si="24"/>
        <v>5-10</v>
      </c>
      <c r="R152" s="1" t="str">
        <f t="shared" si="24"/>
        <v>5-30</v>
      </c>
      <c r="S152" s="1" t="str">
        <f t="shared" si="24"/>
        <v>30-180</v>
      </c>
      <c r="T152" s="1">
        <f t="shared" si="3"/>
        <v>105</v>
      </c>
    </row>
    <row r="153" spans="1:20">
      <c r="A153" s="1" t="s">
        <v>92</v>
      </c>
      <c r="B153" s="1" t="s">
        <v>477</v>
      </c>
      <c r="C153" s="1" t="s">
        <v>39</v>
      </c>
      <c r="D153" s="1" t="s">
        <v>187</v>
      </c>
      <c r="E153" s="1">
        <v>5</v>
      </c>
      <c r="F153" s="1">
        <v>10</v>
      </c>
      <c r="G153" s="1">
        <v>0</v>
      </c>
      <c r="H153" s="1">
        <v>5</v>
      </c>
      <c r="M153" s="1" t="s">
        <v>548</v>
      </c>
      <c r="P153" s="1">
        <v>100</v>
      </c>
      <c r="Q153" s="1" t="str">
        <f t="shared" si="24"/>
        <v>5-10</v>
      </c>
      <c r="R153" s="1" t="str">
        <f t="shared" si="24"/>
        <v>5-30</v>
      </c>
      <c r="S153" s="1" t="str">
        <f t="shared" si="24"/>
        <v>30-180</v>
      </c>
      <c r="T153" s="1">
        <f t="shared" si="3"/>
        <v>105</v>
      </c>
    </row>
    <row r="154" spans="1:20">
      <c r="A154" s="1" t="s">
        <v>93</v>
      </c>
      <c r="B154" s="1" t="s">
        <v>478</v>
      </c>
      <c r="C154" s="1" t="s">
        <v>39</v>
      </c>
      <c r="D154" s="1" t="s">
        <v>188</v>
      </c>
      <c r="E154" s="1">
        <v>1</v>
      </c>
      <c r="F154" s="1">
        <v>5</v>
      </c>
      <c r="G154" s="1">
        <v>2</v>
      </c>
      <c r="H154" s="1">
        <v>6</v>
      </c>
      <c r="M154" s="1" t="s">
        <v>585</v>
      </c>
      <c r="P154" s="1">
        <v>100</v>
      </c>
      <c r="Q154" s="1" t="str">
        <f t="shared" si="24"/>
        <v>1-5</v>
      </c>
      <c r="R154" s="1" t="str">
        <f t="shared" si="24"/>
        <v>9-29</v>
      </c>
      <c r="S154" s="1" t="str">
        <f t="shared" si="24"/>
        <v>54-174</v>
      </c>
      <c r="T154" s="1">
        <f t="shared" si="3"/>
        <v>114</v>
      </c>
    </row>
    <row r="155" spans="1:20">
      <c r="A155" s="1" t="s">
        <v>94</v>
      </c>
      <c r="B155" s="1" t="s">
        <v>479</v>
      </c>
      <c r="C155" s="1" t="s">
        <v>39</v>
      </c>
      <c r="D155" s="1" t="s">
        <v>189</v>
      </c>
      <c r="E155" s="1">
        <v>2</v>
      </c>
      <c r="F155" s="1">
        <v>7</v>
      </c>
      <c r="G155" s="1">
        <v>3</v>
      </c>
      <c r="H155" s="1">
        <v>10</v>
      </c>
      <c r="M155" s="1" t="s">
        <v>585</v>
      </c>
      <c r="P155" s="1">
        <v>100</v>
      </c>
      <c r="Q155" s="1" t="str">
        <f t="shared" si="24"/>
        <v>2-7</v>
      </c>
      <c r="R155" s="1" t="str">
        <f t="shared" si="24"/>
        <v>14-47</v>
      </c>
      <c r="S155" s="1" t="str">
        <f t="shared" si="24"/>
        <v>84-282</v>
      </c>
      <c r="T155" s="1">
        <f t="shared" si="3"/>
        <v>183</v>
      </c>
    </row>
    <row r="156" spans="1:20">
      <c r="A156" s="1" t="s">
        <v>95</v>
      </c>
      <c r="B156" s="1" t="s">
        <v>480</v>
      </c>
      <c r="C156" s="1" t="s">
        <v>39</v>
      </c>
      <c r="D156" s="1" t="s">
        <v>190</v>
      </c>
      <c r="E156" s="1">
        <v>1</v>
      </c>
      <c r="F156" s="1">
        <v>1</v>
      </c>
      <c r="G156" s="1">
        <v>0</v>
      </c>
      <c r="H156" s="1">
        <v>0</v>
      </c>
      <c r="M156" s="1" t="s">
        <v>581</v>
      </c>
      <c r="P156" s="1">
        <v>70</v>
      </c>
      <c r="Q156" s="1" t="str">
        <f t="shared" si="24"/>
        <v>1-1</v>
      </c>
      <c r="R156" s="1" t="str">
        <f t="shared" si="24"/>
        <v>1-1</v>
      </c>
      <c r="S156" s="1" t="str">
        <f t="shared" si="24"/>
        <v>6-6</v>
      </c>
      <c r="T156" s="1">
        <f t="shared" si="3"/>
        <v>6</v>
      </c>
    </row>
    <row r="157" spans="1:20">
      <c r="A157" s="1" t="s">
        <v>96</v>
      </c>
      <c r="B157" s="1" t="s">
        <v>481</v>
      </c>
      <c r="C157" s="1" t="s">
        <v>39</v>
      </c>
      <c r="D157" s="1" t="s">
        <v>191</v>
      </c>
      <c r="E157" s="1">
        <v>0.5</v>
      </c>
      <c r="F157" s="1">
        <v>1</v>
      </c>
      <c r="G157" s="1">
        <v>0.12</v>
      </c>
      <c r="H157" s="1">
        <v>0.4</v>
      </c>
      <c r="M157" s="1" t="s">
        <v>586</v>
      </c>
      <c r="P157" s="1">
        <v>100</v>
      </c>
      <c r="Q157" s="1" t="str">
        <f t="shared" si="24"/>
        <v>0.5-1</v>
      </c>
      <c r="R157" s="1" t="str">
        <f t="shared" si="24"/>
        <v>0.98-2.6</v>
      </c>
      <c r="S157" s="1" t="str">
        <f t="shared" si="24"/>
        <v>5.88-15.6</v>
      </c>
      <c r="T157" s="1">
        <f t="shared" si="3"/>
        <v>10.74</v>
      </c>
    </row>
    <row r="158" spans="1:20">
      <c r="A158" s="1" t="s">
        <v>97</v>
      </c>
      <c r="B158" s="1" t="s">
        <v>482</v>
      </c>
      <c r="C158" s="1" t="s">
        <v>39</v>
      </c>
      <c r="D158" s="1" t="s">
        <v>192</v>
      </c>
      <c r="E158" s="1">
        <v>0.5</v>
      </c>
      <c r="F158" s="1">
        <v>1</v>
      </c>
      <c r="G158" s="1">
        <v>0.12</v>
      </c>
      <c r="H158" s="1">
        <v>0.4</v>
      </c>
      <c r="M158" s="1" t="s">
        <v>586</v>
      </c>
      <c r="P158" s="1">
        <v>100</v>
      </c>
      <c r="Q158" s="1" t="str">
        <f t="shared" si="24"/>
        <v>0.5-1</v>
      </c>
      <c r="R158" s="1" t="str">
        <f t="shared" si="24"/>
        <v>0.98-2.6</v>
      </c>
      <c r="S158" s="1" t="str">
        <f t="shared" si="24"/>
        <v>5.88-15.6</v>
      </c>
      <c r="T158" s="1">
        <f t="shared" si="3"/>
        <v>10.74</v>
      </c>
    </row>
    <row r="159" spans="1:20">
      <c r="A159" s="1" t="s">
        <v>98</v>
      </c>
      <c r="B159" s="1" t="s">
        <v>483</v>
      </c>
      <c r="C159" s="1" t="s">
        <v>39</v>
      </c>
      <c r="D159" s="1" t="s">
        <v>197</v>
      </c>
      <c r="E159" s="1">
        <v>1</v>
      </c>
      <c r="F159" s="1">
        <v>2</v>
      </c>
      <c r="G159" s="1">
        <v>0.1</v>
      </c>
      <c r="H159" s="1">
        <v>1.5</v>
      </c>
      <c r="M159" s="1" t="s">
        <v>547</v>
      </c>
      <c r="P159" s="1">
        <v>100</v>
      </c>
      <c r="Q159" s="1" t="str">
        <f t="shared" si="24"/>
        <v>1-2</v>
      </c>
      <c r="R159" s="1" t="str">
        <f t="shared" si="24"/>
        <v>1.4-8</v>
      </c>
      <c r="S159" s="1" t="str">
        <f t="shared" si="24"/>
        <v>8.4-48</v>
      </c>
      <c r="T159" s="1">
        <f t="shared" ref="T159" si="25">_xlfn.LET(_xlpm.a,($E159+S$3*$G159)*(1+S$2),_xlpm.b,($F159+S$3*$H159)*(1+S$2),_xlpm.a/2+_xlpm.b/2)</f>
        <v>28.2</v>
      </c>
    </row>
    <row r="160" spans="1:20">
      <c r="A160" s="1" t="s">
        <v>99</v>
      </c>
      <c r="B160" s="1" t="s">
        <v>484</v>
      </c>
      <c r="C160" s="1" t="s">
        <v>39</v>
      </c>
      <c r="D160" s="1" t="s">
        <v>198</v>
      </c>
      <c r="E160" s="1">
        <v>20</v>
      </c>
      <c r="F160" s="1">
        <v>40</v>
      </c>
      <c r="G160" s="1">
        <v>5</v>
      </c>
      <c r="H160" s="1">
        <v>50</v>
      </c>
      <c r="M160" s="1" t="s">
        <v>581</v>
      </c>
      <c r="P160" s="1">
        <v>100</v>
      </c>
      <c r="Q160" s="1" t="str">
        <f t="shared" si="24"/>
        <v>20-40</v>
      </c>
      <c r="R160" s="1" t="str">
        <f t="shared" si="24"/>
        <v>40-240</v>
      </c>
      <c r="S160" s="1" t="str">
        <f t="shared" si="24"/>
        <v>240-1440</v>
      </c>
      <c r="T160" s="1">
        <f t="shared" ref="T160:T161" si="26">_xlfn.LET(_xlpm.a,($E160+S$3*$G160)*(1+S$2),_xlpm.b,($F160+S$3*$H160)*(1+S$2),_xlpm.a/2+_xlpm.b/2)</f>
        <v>840</v>
      </c>
    </row>
    <row r="161" spans="1:20">
      <c r="A161" s="1" t="s">
        <v>100</v>
      </c>
      <c r="B161" s="1" t="s">
        <v>485</v>
      </c>
      <c r="C161" s="1" t="s">
        <v>39</v>
      </c>
      <c r="D161" s="1" t="s">
        <v>199</v>
      </c>
      <c r="E161" s="1">
        <v>1</v>
      </c>
      <c r="F161" s="1">
        <v>2</v>
      </c>
      <c r="G161" s="1">
        <v>0.1</v>
      </c>
      <c r="H161" s="1">
        <v>1.5</v>
      </c>
      <c r="M161" s="1" t="s">
        <v>547</v>
      </c>
      <c r="P161" s="1">
        <v>100</v>
      </c>
      <c r="Q161" s="1" t="str">
        <f t="shared" si="24"/>
        <v>1-2</v>
      </c>
      <c r="R161" s="1" t="str">
        <f t="shared" si="24"/>
        <v>1.4-8</v>
      </c>
      <c r="S161" s="1" t="str">
        <f t="shared" si="24"/>
        <v>8.4-48</v>
      </c>
      <c r="T161" s="1">
        <f t="shared" si="26"/>
        <v>28.2</v>
      </c>
    </row>
    <row r="162" spans="1:20">
      <c r="A162" s="1" t="s">
        <v>101</v>
      </c>
      <c r="B162" s="1" t="s">
        <v>486</v>
      </c>
      <c r="C162" s="1" t="s">
        <v>39</v>
      </c>
      <c r="D162" s="1" t="s">
        <v>200</v>
      </c>
      <c r="E162" s="1">
        <v>20</v>
      </c>
      <c r="F162" s="1">
        <v>40</v>
      </c>
      <c r="G162" s="1">
        <v>5</v>
      </c>
      <c r="H162" s="1">
        <v>50</v>
      </c>
      <c r="M162" s="1" t="s">
        <v>581</v>
      </c>
      <c r="P162" s="1">
        <v>100</v>
      </c>
      <c r="Q162" s="1" t="str">
        <f t="shared" si="24"/>
        <v>20-40</v>
      </c>
      <c r="R162" s="1" t="str">
        <f t="shared" si="24"/>
        <v>40-240</v>
      </c>
      <c r="S162" s="1" t="str">
        <f t="shared" si="24"/>
        <v>240-1440</v>
      </c>
      <c r="T162" s="1">
        <f t="shared" ref="T162" si="27">_xlfn.LET(_xlpm.a,($E162+S$3*$G162)*(1+S$2),_xlpm.b,($F162+S$3*$H162)*(1+S$2),_xlpm.a/2+_xlpm.b/2)</f>
        <v>840</v>
      </c>
    </row>
    <row r="163" spans="1:20">
      <c r="A163" s="1" t="s">
        <v>234</v>
      </c>
      <c r="B163" s="1" t="s">
        <v>487</v>
      </c>
      <c r="C163" s="1" t="s">
        <v>39</v>
      </c>
      <c r="D163" s="1" t="s">
        <v>231</v>
      </c>
      <c r="E163" s="1">
        <v>1</v>
      </c>
      <c r="F163" s="1">
        <v>4</v>
      </c>
      <c r="G163" s="1">
        <v>2</v>
      </c>
      <c r="H163" s="1">
        <v>24</v>
      </c>
      <c r="M163" s="1" t="s">
        <v>585</v>
      </c>
      <c r="P163" s="1">
        <v>100</v>
      </c>
      <c r="Q163" s="1" t="str">
        <f t="shared" si="24"/>
        <v>1-4</v>
      </c>
      <c r="R163" s="1" t="str">
        <f t="shared" si="24"/>
        <v>9-100</v>
      </c>
      <c r="S163" s="1" t="str">
        <f t="shared" si="24"/>
        <v>54-600</v>
      </c>
      <c r="T163" s="1">
        <f t="shared" ref="T163" si="28">_xlfn.LET(_xlpm.a,($E163+S$3*$G163)*(1+S$2),_xlpm.b,($F163+S$3*$H163)*(1+S$2),_xlpm.a/2+_xlpm.b/2)</f>
        <v>327</v>
      </c>
    </row>
    <row r="164" spans="1:20">
      <c r="A164" s="1" t="s">
        <v>579</v>
      </c>
      <c r="B164" s="1" t="s">
        <v>579</v>
      </c>
      <c r="C164" s="1" t="s">
        <v>39</v>
      </c>
      <c r="D164" s="1" t="s">
        <v>231</v>
      </c>
      <c r="E164" s="1">
        <v>100</v>
      </c>
      <c r="F164" s="1">
        <v>100</v>
      </c>
      <c r="G164" s="1">
        <v>0</v>
      </c>
      <c r="H164" s="1">
        <v>0</v>
      </c>
    </row>
    <row r="165" spans="1:20">
      <c r="A165" s="1" t="s">
        <v>235</v>
      </c>
      <c r="B165" s="1" t="s">
        <v>488</v>
      </c>
      <c r="C165" s="1" t="s">
        <v>39</v>
      </c>
      <c r="D165" s="1" t="s">
        <v>232</v>
      </c>
      <c r="E165" s="1">
        <v>1</v>
      </c>
      <c r="F165" s="1">
        <v>4</v>
      </c>
      <c r="G165" s="1">
        <v>2</v>
      </c>
      <c r="H165" s="1">
        <v>24</v>
      </c>
      <c r="M165" s="1" t="s">
        <v>585</v>
      </c>
      <c r="P165" s="1">
        <v>100</v>
      </c>
      <c r="Q165" s="1" t="str">
        <f t="shared" si="24"/>
        <v>1-4</v>
      </c>
      <c r="R165" s="1" t="str">
        <f t="shared" si="24"/>
        <v>9-100</v>
      </c>
      <c r="S165" s="1" t="str">
        <f t="shared" si="24"/>
        <v>54-600</v>
      </c>
      <c r="T165" s="1">
        <f t="shared" ref="T165:T167" si="29">_xlfn.LET(_xlpm.a,($E165+S$3*$G165)*(1+S$2),_xlpm.b,($F165+S$3*$H165)*(1+S$2),_xlpm.a/2+_xlpm.b/2)</f>
        <v>327</v>
      </c>
    </row>
    <row r="166" spans="1:20">
      <c r="A166" s="1" t="s">
        <v>236</v>
      </c>
      <c r="B166" s="1" t="s">
        <v>489</v>
      </c>
      <c r="C166" s="1" t="s">
        <v>39</v>
      </c>
      <c r="D166" s="1" t="s">
        <v>233</v>
      </c>
      <c r="E166" s="1">
        <v>1</v>
      </c>
      <c r="F166" s="1">
        <v>4</v>
      </c>
      <c r="G166" s="1">
        <v>2</v>
      </c>
      <c r="H166" s="1">
        <v>24</v>
      </c>
      <c r="M166" s="1" t="s">
        <v>585</v>
      </c>
      <c r="P166" s="1">
        <v>100</v>
      </c>
      <c r="Q166" s="1" t="str">
        <f t="shared" ref="Q166:S182" si="30">_xlfn.LET(_xlpm.a,($E166+Q$3*$G166)*(1+Q$2),_xlpm.b,($F166+Q$3*$H166)*(1+Q$2),_xlpm.a&amp;"-"&amp;_xlpm.b)</f>
        <v>1-4</v>
      </c>
      <c r="R166" s="1" t="str">
        <f t="shared" si="30"/>
        <v>9-100</v>
      </c>
      <c r="S166" s="1" t="str">
        <f t="shared" si="30"/>
        <v>54-600</v>
      </c>
      <c r="T166" s="1">
        <f t="shared" si="29"/>
        <v>327</v>
      </c>
    </row>
    <row r="167" spans="1:20">
      <c r="A167" s="1" t="s">
        <v>237</v>
      </c>
      <c r="B167" s="1" t="s">
        <v>490</v>
      </c>
      <c r="C167" s="1" t="s">
        <v>39</v>
      </c>
      <c r="D167" s="1" t="s">
        <v>238</v>
      </c>
      <c r="E167" s="1">
        <v>1</v>
      </c>
      <c r="F167" s="1">
        <v>4</v>
      </c>
      <c r="G167" s="1">
        <v>2</v>
      </c>
      <c r="H167" s="1">
        <v>24</v>
      </c>
      <c r="M167" s="1" t="s">
        <v>585</v>
      </c>
      <c r="P167" s="1">
        <v>100</v>
      </c>
      <c r="Q167" s="1" t="str">
        <f t="shared" si="30"/>
        <v>1-4</v>
      </c>
      <c r="R167" s="1" t="str">
        <f t="shared" si="30"/>
        <v>9-100</v>
      </c>
      <c r="S167" s="1" t="str">
        <f t="shared" si="30"/>
        <v>54-600</v>
      </c>
      <c r="T167" s="1">
        <f t="shared" si="29"/>
        <v>327</v>
      </c>
    </row>
    <row r="168" spans="1:20">
      <c r="A168" s="1" t="s">
        <v>578</v>
      </c>
      <c r="B168" s="1" t="s">
        <v>578</v>
      </c>
      <c r="C168" s="1" t="s">
        <v>39</v>
      </c>
      <c r="D168" s="1" t="s">
        <v>238</v>
      </c>
      <c r="E168" s="1">
        <v>100</v>
      </c>
      <c r="F168" s="1">
        <v>100</v>
      </c>
      <c r="G168" s="1">
        <v>0</v>
      </c>
      <c r="H168" s="1">
        <v>0</v>
      </c>
      <c r="Q168" s="1" t="str">
        <f t="shared" si="30"/>
        <v>100-100</v>
      </c>
      <c r="R168" s="1" t="str">
        <f t="shared" si="30"/>
        <v>100-100</v>
      </c>
      <c r="S168" s="1" t="str">
        <f t="shared" si="30"/>
        <v>600-600</v>
      </c>
      <c r="T168" s="1">
        <f t="shared" ref="T168" si="31">_xlfn.LET(_xlpm.a,($E168+S$3*$G168)*(1+S$2),_xlpm.b,($F168+S$3*$H168)*(1+S$2),_xlpm.a/2+_xlpm.b/2)</f>
        <v>600</v>
      </c>
    </row>
    <row r="169" spans="1:20">
      <c r="A169" s="1" t="s">
        <v>102</v>
      </c>
      <c r="B169" s="1" t="s">
        <v>491</v>
      </c>
      <c r="C169" s="1" t="s">
        <v>39</v>
      </c>
      <c r="D169" s="1" t="s">
        <v>201</v>
      </c>
      <c r="E169" s="1">
        <v>0.5</v>
      </c>
      <c r="F169" s="1">
        <v>1</v>
      </c>
      <c r="G169" s="1">
        <v>0.5</v>
      </c>
      <c r="H169" s="1">
        <v>1</v>
      </c>
      <c r="M169" s="1" t="s">
        <v>547</v>
      </c>
      <c r="N169" s="1">
        <v>12</v>
      </c>
      <c r="P169" s="1">
        <v>100</v>
      </c>
      <c r="Q169" s="1" t="str">
        <f t="shared" si="30"/>
        <v>0.5-1</v>
      </c>
      <c r="R169" s="1" t="str">
        <f t="shared" si="30"/>
        <v>2.5-5</v>
      </c>
      <c r="S169" s="1" t="str">
        <f t="shared" si="30"/>
        <v>15-30</v>
      </c>
      <c r="T169" s="1">
        <f t="shared" ref="T169" si="32">_xlfn.LET(_xlpm.a,($E169+S$3*$G169)*(1+S$2),_xlpm.b,($F169+S$3*$H169)*(1+S$2),_xlpm.a/2+_xlpm.b/2)</f>
        <v>22.5</v>
      </c>
    </row>
    <row r="170" spans="1:20">
      <c r="A170" s="1" t="s">
        <v>103</v>
      </c>
      <c r="B170" s="1" t="s">
        <v>492</v>
      </c>
      <c r="C170" s="1" t="s">
        <v>39</v>
      </c>
      <c r="D170" s="1" t="s">
        <v>202</v>
      </c>
      <c r="E170" s="1">
        <v>0.5</v>
      </c>
      <c r="F170" s="1">
        <v>1</v>
      </c>
      <c r="G170" s="1">
        <v>0.5</v>
      </c>
      <c r="H170" s="1">
        <v>1</v>
      </c>
      <c r="M170" s="1" t="s">
        <v>547</v>
      </c>
      <c r="N170" s="1">
        <v>12</v>
      </c>
      <c r="P170" s="1">
        <v>100</v>
      </c>
      <c r="Q170" s="1" t="str">
        <f t="shared" si="30"/>
        <v>0.5-1</v>
      </c>
      <c r="R170" s="1" t="str">
        <f t="shared" si="30"/>
        <v>2.5-5</v>
      </c>
      <c r="S170" s="1" t="str">
        <f t="shared" si="30"/>
        <v>15-30</v>
      </c>
      <c r="T170" s="1">
        <f t="shared" ref="T170" si="33">_xlfn.LET(_xlpm.a,($E170+S$3*$G170)*(1+S$2),_xlpm.b,($F170+S$3*$H170)*(1+S$2),_xlpm.a/2+_xlpm.b/2)</f>
        <v>22.5</v>
      </c>
    </row>
    <row r="171" spans="1:20">
      <c r="A171" s="1" t="s">
        <v>54</v>
      </c>
      <c r="B171" s="1" t="s">
        <v>493</v>
      </c>
      <c r="C171" s="1" t="s">
        <v>39</v>
      </c>
      <c r="D171" s="1" t="s">
        <v>203</v>
      </c>
      <c r="E171" s="1">
        <v>1</v>
      </c>
      <c r="F171" s="1">
        <v>1</v>
      </c>
      <c r="G171" s="1">
        <v>0</v>
      </c>
      <c r="H171" s="1">
        <v>0</v>
      </c>
      <c r="M171" s="1" t="s">
        <v>547</v>
      </c>
      <c r="N171" s="1">
        <v>1</v>
      </c>
      <c r="O171" s="1">
        <v>1</v>
      </c>
      <c r="P171" s="1">
        <v>70</v>
      </c>
      <c r="Q171" s="1" t="str">
        <f t="shared" si="30"/>
        <v>1-1</v>
      </c>
      <c r="R171" s="1" t="str">
        <f t="shared" si="30"/>
        <v>1-1</v>
      </c>
      <c r="S171" s="1" t="str">
        <f t="shared" si="30"/>
        <v>6-6</v>
      </c>
      <c r="T171" s="1">
        <f t="shared" ref="T171" si="34">_xlfn.LET(_xlpm.a,($E171+S$3*$G171)*(1+S$2),_xlpm.b,($F171+S$3*$H171)*(1+S$2),_xlpm.a/2+_xlpm.b/2)</f>
        <v>6</v>
      </c>
    </row>
    <row r="172" spans="1:20">
      <c r="A172" s="1" t="s">
        <v>55</v>
      </c>
      <c r="B172" s="1" t="s">
        <v>494</v>
      </c>
      <c r="C172" s="1" t="s">
        <v>39</v>
      </c>
      <c r="D172" s="1" t="s">
        <v>204</v>
      </c>
      <c r="E172" s="1">
        <v>1</v>
      </c>
      <c r="F172" s="1">
        <v>1</v>
      </c>
      <c r="G172" s="1">
        <v>0</v>
      </c>
      <c r="H172" s="1">
        <v>0</v>
      </c>
      <c r="M172" s="1" t="s">
        <v>581</v>
      </c>
      <c r="N172" s="1">
        <v>6</v>
      </c>
      <c r="O172" s="1">
        <v>7</v>
      </c>
      <c r="P172" s="1">
        <v>70</v>
      </c>
      <c r="Q172" s="1" t="str">
        <f t="shared" si="30"/>
        <v>1-1</v>
      </c>
      <c r="R172" s="1" t="str">
        <f t="shared" si="30"/>
        <v>1-1</v>
      </c>
      <c r="S172" s="1" t="str">
        <f t="shared" si="30"/>
        <v>6-6</v>
      </c>
      <c r="T172" s="1">
        <f t="shared" ref="T172:T207" si="35">_xlfn.LET(_xlpm.a,($E172+S$3*$G172)*(1+S$2),_xlpm.b,($F172+S$3*$H172)*(1+S$2),_xlpm.a/2+_xlpm.b/2)</f>
        <v>6</v>
      </c>
    </row>
    <row r="173" spans="1:20">
      <c r="A173" s="1" t="s">
        <v>56</v>
      </c>
      <c r="B173" s="1" t="s">
        <v>495</v>
      </c>
      <c r="C173" s="1" t="s">
        <v>39</v>
      </c>
      <c r="D173" s="1" t="s">
        <v>205</v>
      </c>
      <c r="E173" s="1">
        <v>1</v>
      </c>
      <c r="F173" s="1">
        <v>1</v>
      </c>
      <c r="G173" s="1">
        <v>0</v>
      </c>
      <c r="H173" s="1">
        <v>0</v>
      </c>
      <c r="M173" s="1" t="s">
        <v>547</v>
      </c>
      <c r="N173" s="1">
        <v>12</v>
      </c>
      <c r="O173" s="1">
        <v>14</v>
      </c>
      <c r="P173" s="1">
        <v>70</v>
      </c>
      <c r="Q173" s="1" t="str">
        <f t="shared" si="30"/>
        <v>1-1</v>
      </c>
      <c r="R173" s="1" t="str">
        <f t="shared" si="30"/>
        <v>1-1</v>
      </c>
      <c r="S173" s="1" t="str">
        <f t="shared" si="30"/>
        <v>6-6</v>
      </c>
      <c r="T173" s="1">
        <f t="shared" si="35"/>
        <v>6</v>
      </c>
    </row>
    <row r="174" spans="1:20">
      <c r="A174" s="1" t="s">
        <v>57</v>
      </c>
      <c r="B174" s="1" t="s">
        <v>496</v>
      </c>
      <c r="C174" s="1" t="s">
        <v>39</v>
      </c>
      <c r="D174" s="1" t="s">
        <v>206</v>
      </c>
      <c r="E174" s="1">
        <v>1</v>
      </c>
      <c r="F174" s="1">
        <v>1</v>
      </c>
      <c r="G174" s="1">
        <v>0</v>
      </c>
      <c r="H174" s="1">
        <v>0</v>
      </c>
      <c r="M174" s="1" t="s">
        <v>547</v>
      </c>
      <c r="N174" s="1">
        <v>19</v>
      </c>
      <c r="O174" s="1">
        <v>21</v>
      </c>
      <c r="P174" s="1">
        <v>70</v>
      </c>
      <c r="Q174" s="1" t="str">
        <f t="shared" si="30"/>
        <v>1-1</v>
      </c>
      <c r="R174" s="1" t="str">
        <f t="shared" si="30"/>
        <v>1-1</v>
      </c>
      <c r="S174" s="1" t="str">
        <f t="shared" si="30"/>
        <v>6-6</v>
      </c>
      <c r="T174" s="1">
        <f t="shared" si="35"/>
        <v>6</v>
      </c>
    </row>
    <row r="175" spans="1:20">
      <c r="A175" s="1" t="s">
        <v>58</v>
      </c>
      <c r="B175" s="1" t="s">
        <v>497</v>
      </c>
      <c r="C175" s="1" t="s">
        <v>39</v>
      </c>
      <c r="D175" s="1" t="s">
        <v>207</v>
      </c>
      <c r="E175" s="1">
        <v>1</v>
      </c>
      <c r="F175" s="1">
        <v>1</v>
      </c>
      <c r="G175" s="1">
        <v>0</v>
      </c>
      <c r="H175" s="1">
        <v>0</v>
      </c>
      <c r="M175" s="1" t="s">
        <v>547</v>
      </c>
      <c r="N175" s="1">
        <v>25</v>
      </c>
      <c r="O175" s="1">
        <v>28</v>
      </c>
      <c r="P175" s="1">
        <v>70</v>
      </c>
      <c r="Q175" s="1" t="str">
        <f t="shared" si="30"/>
        <v>1-1</v>
      </c>
      <c r="R175" s="1" t="str">
        <f t="shared" si="30"/>
        <v>1-1</v>
      </c>
      <c r="S175" s="1" t="str">
        <f t="shared" si="30"/>
        <v>6-6</v>
      </c>
      <c r="T175" s="1">
        <f t="shared" si="35"/>
        <v>6</v>
      </c>
    </row>
    <row r="176" spans="1:20">
      <c r="A176" s="1" t="s">
        <v>59</v>
      </c>
      <c r="B176" s="1" t="s">
        <v>498</v>
      </c>
      <c r="C176" s="1" t="s">
        <v>39</v>
      </c>
      <c r="D176" s="1" t="s">
        <v>208</v>
      </c>
      <c r="E176" s="1">
        <v>1</v>
      </c>
      <c r="F176" s="1">
        <v>1</v>
      </c>
      <c r="G176" s="1">
        <v>0</v>
      </c>
      <c r="H176" s="1">
        <v>0</v>
      </c>
      <c r="M176" s="1" t="s">
        <v>547</v>
      </c>
      <c r="N176" s="1">
        <v>31</v>
      </c>
      <c r="O176" s="1">
        <v>35</v>
      </c>
      <c r="P176" s="1">
        <v>70</v>
      </c>
      <c r="Q176" s="1" t="str">
        <f t="shared" si="30"/>
        <v>1-1</v>
      </c>
      <c r="R176" s="1" t="str">
        <f t="shared" si="30"/>
        <v>1-1</v>
      </c>
      <c r="S176" s="1" t="str">
        <f t="shared" si="30"/>
        <v>6-6</v>
      </c>
      <c r="T176" s="1">
        <f t="shared" si="35"/>
        <v>6</v>
      </c>
    </row>
    <row r="177" spans="1:20">
      <c r="A177" s="1" t="s">
        <v>60</v>
      </c>
      <c r="B177" s="1" t="s">
        <v>499</v>
      </c>
      <c r="C177" s="1" t="s">
        <v>39</v>
      </c>
      <c r="D177" s="1" t="s">
        <v>209</v>
      </c>
      <c r="E177" s="1">
        <v>1</v>
      </c>
      <c r="F177" s="1">
        <v>1</v>
      </c>
      <c r="G177" s="1">
        <v>0</v>
      </c>
      <c r="H177" s="1">
        <v>0</v>
      </c>
      <c r="M177" s="1" t="s">
        <v>547</v>
      </c>
      <c r="N177" s="1">
        <v>1</v>
      </c>
      <c r="O177" s="1">
        <v>1</v>
      </c>
      <c r="P177" s="1">
        <v>70</v>
      </c>
      <c r="Q177" s="1" t="str">
        <f t="shared" si="30"/>
        <v>1-1</v>
      </c>
      <c r="R177" s="1" t="str">
        <f t="shared" si="30"/>
        <v>1-1</v>
      </c>
      <c r="S177" s="1" t="str">
        <f t="shared" si="30"/>
        <v>6-6</v>
      </c>
      <c r="T177" s="1">
        <f t="shared" si="35"/>
        <v>6</v>
      </c>
    </row>
    <row r="178" spans="1:20">
      <c r="A178" s="1" t="s">
        <v>61</v>
      </c>
      <c r="B178" s="1" t="s">
        <v>500</v>
      </c>
      <c r="C178" s="1" t="s">
        <v>39</v>
      </c>
      <c r="D178" s="1" t="s">
        <v>210</v>
      </c>
      <c r="E178" s="1">
        <v>1</v>
      </c>
      <c r="F178" s="1">
        <v>1</v>
      </c>
      <c r="G178" s="1">
        <v>0</v>
      </c>
      <c r="H178" s="1">
        <v>0</v>
      </c>
      <c r="M178" s="1" t="s">
        <v>581</v>
      </c>
      <c r="N178" s="1">
        <v>6</v>
      </c>
      <c r="O178" s="1">
        <v>7</v>
      </c>
      <c r="P178" s="1">
        <v>70</v>
      </c>
      <c r="Q178" s="1" t="str">
        <f t="shared" si="30"/>
        <v>1-1</v>
      </c>
      <c r="R178" s="1" t="str">
        <f t="shared" si="30"/>
        <v>1-1</v>
      </c>
      <c r="S178" s="1" t="str">
        <f t="shared" si="30"/>
        <v>6-6</v>
      </c>
      <c r="T178" s="1">
        <f t="shared" si="35"/>
        <v>6</v>
      </c>
    </row>
    <row r="179" spans="1:20">
      <c r="A179" s="1" t="s">
        <v>62</v>
      </c>
      <c r="B179" s="1" t="s">
        <v>501</v>
      </c>
      <c r="C179" s="1" t="s">
        <v>39</v>
      </c>
      <c r="D179" s="1" t="s">
        <v>211</v>
      </c>
      <c r="E179" s="1">
        <v>1</v>
      </c>
      <c r="F179" s="1">
        <v>1</v>
      </c>
      <c r="G179" s="1">
        <v>0</v>
      </c>
      <c r="H179" s="1">
        <v>0</v>
      </c>
      <c r="M179" s="1" t="s">
        <v>547</v>
      </c>
      <c r="N179" s="1">
        <v>12</v>
      </c>
      <c r="O179" s="1">
        <v>14</v>
      </c>
      <c r="P179" s="1">
        <v>70</v>
      </c>
      <c r="Q179" s="1" t="str">
        <f t="shared" si="30"/>
        <v>1-1</v>
      </c>
      <c r="R179" s="1" t="str">
        <f t="shared" si="30"/>
        <v>1-1</v>
      </c>
      <c r="S179" s="1" t="str">
        <f t="shared" si="30"/>
        <v>6-6</v>
      </c>
      <c r="T179" s="1">
        <f t="shared" si="35"/>
        <v>6</v>
      </c>
    </row>
    <row r="180" spans="1:20">
      <c r="A180" s="1" t="s">
        <v>63</v>
      </c>
      <c r="B180" s="1" t="s">
        <v>502</v>
      </c>
      <c r="C180" s="1" t="s">
        <v>39</v>
      </c>
      <c r="D180" s="1" t="s">
        <v>212</v>
      </c>
      <c r="E180" s="1">
        <v>1</v>
      </c>
      <c r="F180" s="1">
        <v>1</v>
      </c>
      <c r="G180" s="1">
        <v>0</v>
      </c>
      <c r="H180" s="1">
        <v>0</v>
      </c>
      <c r="M180" s="1" t="s">
        <v>547</v>
      </c>
      <c r="N180" s="1">
        <v>19</v>
      </c>
      <c r="O180" s="1">
        <v>21</v>
      </c>
      <c r="P180" s="1">
        <v>70</v>
      </c>
      <c r="Q180" s="1" t="str">
        <f t="shared" si="30"/>
        <v>1-1</v>
      </c>
      <c r="R180" s="1" t="str">
        <f t="shared" si="30"/>
        <v>1-1</v>
      </c>
      <c r="S180" s="1" t="str">
        <f t="shared" si="30"/>
        <v>6-6</v>
      </c>
      <c r="T180" s="1">
        <f t="shared" si="35"/>
        <v>6</v>
      </c>
    </row>
    <row r="181" spans="1:20">
      <c r="A181" s="1" t="s">
        <v>64</v>
      </c>
      <c r="B181" s="1" t="s">
        <v>503</v>
      </c>
      <c r="C181" s="1" t="s">
        <v>39</v>
      </c>
      <c r="D181" s="1" t="s">
        <v>213</v>
      </c>
      <c r="E181" s="1">
        <v>1</v>
      </c>
      <c r="F181" s="1">
        <v>1</v>
      </c>
      <c r="G181" s="1">
        <v>0</v>
      </c>
      <c r="H181" s="1">
        <v>0</v>
      </c>
      <c r="M181" s="1" t="s">
        <v>547</v>
      </c>
      <c r="N181" s="1">
        <v>25</v>
      </c>
      <c r="O181" s="1">
        <v>28</v>
      </c>
      <c r="P181" s="1">
        <v>70</v>
      </c>
      <c r="Q181" s="1" t="str">
        <f t="shared" si="30"/>
        <v>1-1</v>
      </c>
      <c r="R181" s="1" t="str">
        <f t="shared" si="30"/>
        <v>1-1</v>
      </c>
      <c r="S181" s="1" t="str">
        <f t="shared" si="30"/>
        <v>6-6</v>
      </c>
      <c r="T181" s="1">
        <f t="shared" si="35"/>
        <v>6</v>
      </c>
    </row>
    <row r="182" spans="1:20">
      <c r="A182" s="1" t="s">
        <v>65</v>
      </c>
      <c r="B182" s="1" t="s">
        <v>504</v>
      </c>
      <c r="C182" s="1" t="s">
        <v>39</v>
      </c>
      <c r="D182" s="1" t="s">
        <v>214</v>
      </c>
      <c r="E182" s="1">
        <v>1</v>
      </c>
      <c r="F182" s="1">
        <v>1</v>
      </c>
      <c r="G182" s="1">
        <v>0</v>
      </c>
      <c r="H182" s="1">
        <v>0</v>
      </c>
      <c r="M182" s="1" t="s">
        <v>547</v>
      </c>
      <c r="N182" s="1">
        <v>31</v>
      </c>
      <c r="O182" s="1">
        <v>35</v>
      </c>
      <c r="P182" s="1">
        <v>70</v>
      </c>
      <c r="Q182" s="1" t="str">
        <f t="shared" si="30"/>
        <v>1-1</v>
      </c>
      <c r="R182" s="1" t="str">
        <f t="shared" si="30"/>
        <v>1-1</v>
      </c>
      <c r="S182" s="1" t="str">
        <f t="shared" si="30"/>
        <v>6-6</v>
      </c>
      <c r="T182" s="1">
        <f t="shared" si="35"/>
        <v>6</v>
      </c>
    </row>
    <row r="183" spans="1:20">
      <c r="A183" s="1" t="s">
        <v>66</v>
      </c>
      <c r="B183" s="1" t="s">
        <v>505</v>
      </c>
      <c r="C183" s="1" t="s">
        <v>39</v>
      </c>
      <c r="D183" s="1" t="s">
        <v>215</v>
      </c>
      <c r="E183" s="1">
        <v>1</v>
      </c>
      <c r="F183" s="1">
        <v>1</v>
      </c>
      <c r="G183" s="1">
        <v>0</v>
      </c>
      <c r="H183" s="1">
        <v>0</v>
      </c>
      <c r="M183" s="1" t="s">
        <v>547</v>
      </c>
      <c r="N183" s="1">
        <v>1</v>
      </c>
      <c r="O183" s="1">
        <v>1</v>
      </c>
      <c r="P183" s="1">
        <v>70</v>
      </c>
      <c r="Q183" s="1" t="str">
        <f t="shared" ref="Q183:S280" si="36">_xlfn.LET(_xlpm.a,($E183+Q$3*$G183)*(1+Q$2),_xlpm.b,($F183+Q$3*$H183)*(1+Q$2),_xlpm.a&amp;"-"&amp;_xlpm.b)</f>
        <v>1-1</v>
      </c>
      <c r="R183" s="1" t="str">
        <f t="shared" si="36"/>
        <v>1-1</v>
      </c>
      <c r="S183" s="1" t="str">
        <f t="shared" si="36"/>
        <v>6-6</v>
      </c>
      <c r="T183" s="1">
        <f t="shared" si="35"/>
        <v>6</v>
      </c>
    </row>
    <row r="184" spans="1:20">
      <c r="A184" s="1" t="s">
        <v>67</v>
      </c>
      <c r="B184" s="1" t="s">
        <v>506</v>
      </c>
      <c r="C184" s="1" t="s">
        <v>39</v>
      </c>
      <c r="D184" s="1" t="s">
        <v>216</v>
      </c>
      <c r="E184" s="1">
        <v>1</v>
      </c>
      <c r="F184" s="1">
        <v>1</v>
      </c>
      <c r="G184" s="1">
        <v>0</v>
      </c>
      <c r="H184" s="1">
        <v>0</v>
      </c>
      <c r="M184" s="1" t="s">
        <v>581</v>
      </c>
      <c r="N184" s="1">
        <v>6</v>
      </c>
      <c r="O184" s="1">
        <v>7</v>
      </c>
      <c r="P184" s="1">
        <v>70</v>
      </c>
      <c r="Q184" s="1" t="str">
        <f t="shared" si="36"/>
        <v>1-1</v>
      </c>
      <c r="R184" s="1" t="str">
        <f t="shared" si="36"/>
        <v>1-1</v>
      </c>
      <c r="S184" s="1" t="str">
        <f t="shared" si="36"/>
        <v>6-6</v>
      </c>
      <c r="T184" s="1">
        <f t="shared" si="35"/>
        <v>6</v>
      </c>
    </row>
    <row r="185" spans="1:20">
      <c r="A185" s="1" t="s">
        <v>68</v>
      </c>
      <c r="B185" s="1" t="s">
        <v>507</v>
      </c>
      <c r="C185" s="1" t="s">
        <v>39</v>
      </c>
      <c r="D185" s="1" t="s">
        <v>217</v>
      </c>
      <c r="E185" s="1">
        <v>1</v>
      </c>
      <c r="F185" s="1">
        <v>1</v>
      </c>
      <c r="G185" s="1">
        <v>0</v>
      </c>
      <c r="H185" s="1">
        <v>0</v>
      </c>
      <c r="M185" s="1" t="s">
        <v>547</v>
      </c>
      <c r="N185" s="1">
        <v>12</v>
      </c>
      <c r="O185" s="1">
        <v>14</v>
      </c>
      <c r="P185" s="1">
        <v>70</v>
      </c>
      <c r="Q185" s="1" t="str">
        <f t="shared" si="36"/>
        <v>1-1</v>
      </c>
      <c r="R185" s="1" t="str">
        <f t="shared" si="36"/>
        <v>1-1</v>
      </c>
      <c r="S185" s="1" t="str">
        <f t="shared" si="36"/>
        <v>6-6</v>
      </c>
      <c r="T185" s="1">
        <f t="shared" si="35"/>
        <v>6</v>
      </c>
    </row>
    <row r="186" spans="1:20">
      <c r="A186" s="1" t="s">
        <v>69</v>
      </c>
      <c r="B186" s="1" t="s">
        <v>508</v>
      </c>
      <c r="C186" s="1" t="s">
        <v>39</v>
      </c>
      <c r="D186" s="1" t="s">
        <v>218</v>
      </c>
      <c r="E186" s="1">
        <v>1</v>
      </c>
      <c r="F186" s="1">
        <v>1</v>
      </c>
      <c r="G186" s="1">
        <v>0</v>
      </c>
      <c r="H186" s="1">
        <v>0</v>
      </c>
      <c r="M186" s="1" t="s">
        <v>547</v>
      </c>
      <c r="N186" s="1">
        <v>19</v>
      </c>
      <c r="O186" s="1">
        <v>21</v>
      </c>
      <c r="P186" s="1">
        <v>70</v>
      </c>
      <c r="Q186" s="1" t="str">
        <f t="shared" si="36"/>
        <v>1-1</v>
      </c>
      <c r="R186" s="1" t="str">
        <f t="shared" si="36"/>
        <v>1-1</v>
      </c>
      <c r="S186" s="1" t="str">
        <f t="shared" si="36"/>
        <v>6-6</v>
      </c>
      <c r="T186" s="1">
        <f t="shared" si="35"/>
        <v>6</v>
      </c>
    </row>
    <row r="187" spans="1:20">
      <c r="A187" s="1" t="s">
        <v>70</v>
      </c>
      <c r="B187" s="1" t="s">
        <v>509</v>
      </c>
      <c r="C187" s="1" t="s">
        <v>39</v>
      </c>
      <c r="D187" s="1" t="s">
        <v>219</v>
      </c>
      <c r="E187" s="1">
        <v>1</v>
      </c>
      <c r="F187" s="1">
        <v>1</v>
      </c>
      <c r="G187" s="1">
        <v>0</v>
      </c>
      <c r="H187" s="1">
        <v>0</v>
      </c>
      <c r="M187" s="1" t="s">
        <v>547</v>
      </c>
      <c r="N187" s="1">
        <v>25</v>
      </c>
      <c r="O187" s="1">
        <v>28</v>
      </c>
      <c r="P187" s="1">
        <v>70</v>
      </c>
      <c r="Q187" s="1" t="str">
        <f t="shared" si="36"/>
        <v>1-1</v>
      </c>
      <c r="R187" s="1" t="str">
        <f t="shared" si="36"/>
        <v>1-1</v>
      </c>
      <c r="S187" s="1" t="str">
        <f t="shared" si="36"/>
        <v>6-6</v>
      </c>
      <c r="T187" s="1">
        <f t="shared" si="35"/>
        <v>6</v>
      </c>
    </row>
    <row r="188" spans="1:20">
      <c r="A188" s="1" t="s">
        <v>71</v>
      </c>
      <c r="B188" s="1" t="s">
        <v>510</v>
      </c>
      <c r="C188" s="1" t="s">
        <v>39</v>
      </c>
      <c r="D188" s="1" t="s">
        <v>220</v>
      </c>
      <c r="E188" s="1">
        <v>1</v>
      </c>
      <c r="F188" s="1">
        <v>1</v>
      </c>
      <c r="G188" s="1">
        <v>0</v>
      </c>
      <c r="H188" s="1">
        <v>0</v>
      </c>
      <c r="M188" s="1" t="s">
        <v>547</v>
      </c>
      <c r="N188" s="1">
        <v>31</v>
      </c>
      <c r="O188" s="1">
        <v>35</v>
      </c>
      <c r="P188" s="1">
        <v>70</v>
      </c>
      <c r="Q188" s="1" t="str">
        <f t="shared" si="36"/>
        <v>1-1</v>
      </c>
      <c r="R188" s="1" t="str">
        <f t="shared" si="36"/>
        <v>1-1</v>
      </c>
      <c r="S188" s="1" t="str">
        <f t="shared" si="36"/>
        <v>6-6</v>
      </c>
      <c r="T188" s="1">
        <f t="shared" si="35"/>
        <v>6</v>
      </c>
    </row>
    <row r="189" spans="1:20">
      <c r="A189" s="1" t="s">
        <v>72</v>
      </c>
      <c r="B189" s="1" t="s">
        <v>511</v>
      </c>
      <c r="C189" s="1" t="s">
        <v>39</v>
      </c>
      <c r="D189" s="1" t="s">
        <v>221</v>
      </c>
      <c r="E189" s="1">
        <v>1</v>
      </c>
      <c r="F189" s="1">
        <v>1</v>
      </c>
      <c r="G189" s="1">
        <v>0</v>
      </c>
      <c r="H189" s="1">
        <v>0</v>
      </c>
      <c r="M189" s="1" t="s">
        <v>547</v>
      </c>
      <c r="N189" s="1">
        <v>1</v>
      </c>
      <c r="O189" s="1">
        <v>1</v>
      </c>
      <c r="P189" s="1">
        <v>70</v>
      </c>
      <c r="Q189" s="1" t="str">
        <f t="shared" si="36"/>
        <v>1-1</v>
      </c>
      <c r="R189" s="1" t="str">
        <f t="shared" si="36"/>
        <v>1-1</v>
      </c>
      <c r="S189" s="1" t="str">
        <f t="shared" si="36"/>
        <v>6-6</v>
      </c>
      <c r="T189" s="1">
        <f t="shared" si="35"/>
        <v>6</v>
      </c>
    </row>
    <row r="190" spans="1:20">
      <c r="A190" s="1" t="s">
        <v>73</v>
      </c>
      <c r="B190" s="1" t="s">
        <v>512</v>
      </c>
      <c r="C190" s="1" t="s">
        <v>39</v>
      </c>
      <c r="D190" s="1" t="s">
        <v>222</v>
      </c>
      <c r="E190" s="1">
        <v>1</v>
      </c>
      <c r="F190" s="1">
        <v>1</v>
      </c>
      <c r="G190" s="1">
        <v>0</v>
      </c>
      <c r="H190" s="1">
        <v>0</v>
      </c>
      <c r="M190" s="1" t="s">
        <v>581</v>
      </c>
      <c r="N190" s="1">
        <v>6</v>
      </c>
      <c r="O190" s="1">
        <v>7</v>
      </c>
      <c r="P190" s="1">
        <v>70</v>
      </c>
      <c r="Q190" s="1" t="str">
        <f t="shared" si="36"/>
        <v>1-1</v>
      </c>
      <c r="R190" s="1" t="str">
        <f t="shared" si="36"/>
        <v>1-1</v>
      </c>
      <c r="S190" s="1" t="str">
        <f t="shared" si="36"/>
        <v>6-6</v>
      </c>
      <c r="T190" s="1">
        <f t="shared" si="35"/>
        <v>6</v>
      </c>
    </row>
    <row r="191" spans="1:20">
      <c r="A191" s="1" t="s">
        <v>74</v>
      </c>
      <c r="B191" s="1" t="s">
        <v>517</v>
      </c>
      <c r="C191" s="1" t="s">
        <v>39</v>
      </c>
      <c r="D191" s="1" t="s">
        <v>223</v>
      </c>
      <c r="E191" s="1">
        <v>1</v>
      </c>
      <c r="F191" s="1">
        <v>1</v>
      </c>
      <c r="G191" s="1">
        <v>0</v>
      </c>
      <c r="H191" s="1">
        <v>0</v>
      </c>
      <c r="M191" s="1" t="s">
        <v>547</v>
      </c>
      <c r="N191" s="1">
        <v>12</v>
      </c>
      <c r="O191" s="1">
        <v>14</v>
      </c>
      <c r="P191" s="1">
        <v>70</v>
      </c>
      <c r="Q191" s="1" t="str">
        <f t="shared" si="36"/>
        <v>1-1</v>
      </c>
      <c r="R191" s="1" t="str">
        <f t="shared" si="36"/>
        <v>1-1</v>
      </c>
      <c r="S191" s="1" t="str">
        <f t="shared" si="36"/>
        <v>6-6</v>
      </c>
      <c r="T191" s="1">
        <f t="shared" si="35"/>
        <v>6</v>
      </c>
    </row>
    <row r="192" spans="1:20">
      <c r="A192" s="1" t="s">
        <v>75</v>
      </c>
      <c r="B192" s="1" t="s">
        <v>513</v>
      </c>
      <c r="C192" s="1" t="s">
        <v>39</v>
      </c>
      <c r="D192" s="1" t="s">
        <v>224</v>
      </c>
      <c r="E192" s="1">
        <v>1</v>
      </c>
      <c r="F192" s="1">
        <v>1</v>
      </c>
      <c r="G192" s="1">
        <v>0</v>
      </c>
      <c r="H192" s="1">
        <v>0</v>
      </c>
      <c r="M192" s="1" t="s">
        <v>547</v>
      </c>
      <c r="N192" s="1">
        <v>19</v>
      </c>
      <c r="O192" s="1">
        <v>21</v>
      </c>
      <c r="P192" s="1">
        <v>70</v>
      </c>
      <c r="Q192" s="1" t="str">
        <f t="shared" si="36"/>
        <v>1-1</v>
      </c>
      <c r="R192" s="1" t="str">
        <f t="shared" si="36"/>
        <v>1-1</v>
      </c>
      <c r="S192" s="1" t="str">
        <f t="shared" si="36"/>
        <v>6-6</v>
      </c>
      <c r="T192" s="1">
        <f t="shared" si="35"/>
        <v>6</v>
      </c>
    </row>
    <row r="193" spans="1:20">
      <c r="A193" s="1" t="s">
        <v>76</v>
      </c>
      <c r="B193" s="1" t="s">
        <v>514</v>
      </c>
      <c r="C193" s="1" t="s">
        <v>39</v>
      </c>
      <c r="D193" s="1" t="s">
        <v>225</v>
      </c>
      <c r="E193" s="1">
        <v>1</v>
      </c>
      <c r="F193" s="1">
        <v>1</v>
      </c>
      <c r="G193" s="1">
        <v>0</v>
      </c>
      <c r="H193" s="1">
        <v>0</v>
      </c>
      <c r="M193" s="1" t="s">
        <v>547</v>
      </c>
      <c r="N193" s="1">
        <v>25</v>
      </c>
      <c r="O193" s="1">
        <v>28</v>
      </c>
      <c r="P193" s="1">
        <v>70</v>
      </c>
      <c r="Q193" s="1" t="str">
        <f t="shared" si="36"/>
        <v>1-1</v>
      </c>
      <c r="R193" s="1" t="str">
        <f t="shared" si="36"/>
        <v>1-1</v>
      </c>
      <c r="S193" s="1" t="str">
        <f t="shared" si="36"/>
        <v>6-6</v>
      </c>
      <c r="T193" s="1">
        <f t="shared" si="35"/>
        <v>6</v>
      </c>
    </row>
    <row r="194" spans="1:20">
      <c r="A194" s="1" t="s">
        <v>77</v>
      </c>
      <c r="B194" s="1" t="s">
        <v>515</v>
      </c>
      <c r="C194" s="1" t="s">
        <v>39</v>
      </c>
      <c r="D194" s="1" t="s">
        <v>226</v>
      </c>
      <c r="E194" s="1">
        <v>1</v>
      </c>
      <c r="F194" s="1">
        <v>1</v>
      </c>
      <c r="G194" s="1">
        <v>0</v>
      </c>
      <c r="H194" s="1">
        <v>0</v>
      </c>
      <c r="M194" s="1" t="s">
        <v>547</v>
      </c>
      <c r="N194" s="1">
        <v>31</v>
      </c>
      <c r="O194" s="1">
        <v>35</v>
      </c>
      <c r="P194" s="1">
        <v>70</v>
      </c>
      <c r="Q194" s="1" t="str">
        <f t="shared" si="36"/>
        <v>1-1</v>
      </c>
      <c r="R194" s="1" t="str">
        <f t="shared" si="36"/>
        <v>1-1</v>
      </c>
      <c r="S194" s="1" t="str">
        <f t="shared" si="36"/>
        <v>6-6</v>
      </c>
      <c r="T194" s="1">
        <f t="shared" si="35"/>
        <v>6</v>
      </c>
    </row>
    <row r="195" spans="1:20">
      <c r="A195" s="1" t="s">
        <v>78</v>
      </c>
      <c r="B195" s="1" t="s">
        <v>516</v>
      </c>
      <c r="C195" s="1" t="s">
        <v>39</v>
      </c>
      <c r="D195" s="1" t="s">
        <v>227</v>
      </c>
      <c r="E195" s="1">
        <v>1</v>
      </c>
      <c r="F195" s="1">
        <v>1</v>
      </c>
      <c r="G195" s="1">
        <v>0</v>
      </c>
      <c r="H195" s="1">
        <v>0</v>
      </c>
      <c r="M195" s="1" t="s">
        <v>547</v>
      </c>
      <c r="N195" s="1">
        <v>1</v>
      </c>
      <c r="O195" s="1">
        <v>1</v>
      </c>
      <c r="P195" s="1">
        <v>70</v>
      </c>
      <c r="Q195" s="1" t="str">
        <f t="shared" si="36"/>
        <v>1-1</v>
      </c>
      <c r="R195" s="1" t="str">
        <f t="shared" si="36"/>
        <v>1-1</v>
      </c>
      <c r="S195" s="1" t="str">
        <f t="shared" si="36"/>
        <v>6-6</v>
      </c>
      <c r="T195" s="1">
        <f t="shared" si="35"/>
        <v>6</v>
      </c>
    </row>
    <row r="196" spans="1:20">
      <c r="A196" s="1" t="s">
        <v>79</v>
      </c>
      <c r="B196" s="1" t="s">
        <v>518</v>
      </c>
      <c r="C196" s="1" t="s">
        <v>39</v>
      </c>
      <c r="D196" s="1" t="s">
        <v>228</v>
      </c>
      <c r="E196" s="1">
        <v>1</v>
      </c>
      <c r="F196" s="1">
        <v>1</v>
      </c>
      <c r="G196" s="1">
        <v>0</v>
      </c>
      <c r="H196" s="1">
        <v>0</v>
      </c>
      <c r="M196" s="1" t="s">
        <v>581</v>
      </c>
      <c r="N196" s="1">
        <v>6</v>
      </c>
      <c r="O196" s="1">
        <v>7</v>
      </c>
      <c r="P196" s="1">
        <v>70</v>
      </c>
      <c r="Q196" s="1" t="str">
        <f t="shared" si="36"/>
        <v>1-1</v>
      </c>
      <c r="R196" s="1" t="str">
        <f t="shared" si="36"/>
        <v>1-1</v>
      </c>
      <c r="S196" s="1" t="str">
        <f t="shared" si="36"/>
        <v>6-6</v>
      </c>
      <c r="T196" s="1">
        <f t="shared" si="35"/>
        <v>6</v>
      </c>
    </row>
    <row r="197" spans="1:20">
      <c r="A197" s="1" t="s">
        <v>80</v>
      </c>
      <c r="B197" s="1" t="s">
        <v>521</v>
      </c>
      <c r="C197" s="1" t="s">
        <v>39</v>
      </c>
      <c r="D197" s="1" t="s">
        <v>229</v>
      </c>
      <c r="E197" s="1">
        <v>1</v>
      </c>
      <c r="F197" s="1">
        <v>1</v>
      </c>
      <c r="G197" s="1">
        <v>0</v>
      </c>
      <c r="H197" s="1">
        <v>0</v>
      </c>
      <c r="M197" s="1" t="s">
        <v>547</v>
      </c>
      <c r="N197" s="1">
        <v>12</v>
      </c>
      <c r="O197" s="1">
        <v>14</v>
      </c>
      <c r="P197" s="1">
        <v>70</v>
      </c>
      <c r="Q197" s="1" t="str">
        <f t="shared" si="36"/>
        <v>1-1</v>
      </c>
      <c r="R197" s="1" t="str">
        <f t="shared" si="36"/>
        <v>1-1</v>
      </c>
      <c r="S197" s="1" t="str">
        <f t="shared" si="36"/>
        <v>6-6</v>
      </c>
      <c r="T197" s="1">
        <f t="shared" si="35"/>
        <v>6</v>
      </c>
    </row>
    <row r="198" spans="1:20">
      <c r="A198" s="1" t="s">
        <v>81</v>
      </c>
      <c r="B198" s="1" t="s">
        <v>519</v>
      </c>
      <c r="C198" s="1" t="s">
        <v>39</v>
      </c>
      <c r="D198" s="1" t="s">
        <v>230</v>
      </c>
      <c r="E198" s="1">
        <v>1</v>
      </c>
      <c r="F198" s="1">
        <v>1</v>
      </c>
      <c r="G198" s="1">
        <v>0</v>
      </c>
      <c r="H198" s="1">
        <v>0</v>
      </c>
      <c r="M198" s="1" t="s">
        <v>547</v>
      </c>
      <c r="N198" s="1">
        <v>19</v>
      </c>
      <c r="O198" s="1">
        <v>21</v>
      </c>
      <c r="P198" s="1">
        <v>70</v>
      </c>
      <c r="Q198" s="1" t="str">
        <f t="shared" si="36"/>
        <v>1-1</v>
      </c>
      <c r="R198" s="1" t="str">
        <f t="shared" si="36"/>
        <v>1-1</v>
      </c>
      <c r="S198" s="1" t="str">
        <f t="shared" si="36"/>
        <v>6-6</v>
      </c>
      <c r="T198" s="1">
        <f t="shared" si="35"/>
        <v>6</v>
      </c>
    </row>
    <row r="199" spans="1:20">
      <c r="A199" s="1" t="s">
        <v>82</v>
      </c>
      <c r="B199" s="1" t="s">
        <v>520</v>
      </c>
      <c r="C199" s="1" t="s">
        <v>39</v>
      </c>
      <c r="D199" s="1" t="s">
        <v>239</v>
      </c>
      <c r="E199" s="1">
        <v>1</v>
      </c>
      <c r="F199" s="1">
        <v>1</v>
      </c>
      <c r="G199" s="1">
        <v>0</v>
      </c>
      <c r="H199" s="1">
        <v>0</v>
      </c>
      <c r="M199" s="1" t="s">
        <v>547</v>
      </c>
      <c r="N199" s="1">
        <v>25</v>
      </c>
      <c r="O199" s="1">
        <v>28</v>
      </c>
      <c r="P199" s="1">
        <v>70</v>
      </c>
      <c r="Q199" s="1" t="str">
        <f t="shared" si="36"/>
        <v>1-1</v>
      </c>
      <c r="R199" s="1" t="str">
        <f t="shared" si="36"/>
        <v>1-1</v>
      </c>
      <c r="S199" s="1" t="str">
        <f t="shared" si="36"/>
        <v>6-6</v>
      </c>
      <c r="T199" s="1">
        <f t="shared" si="35"/>
        <v>6</v>
      </c>
    </row>
    <row r="200" spans="1:20">
      <c r="A200" s="1" t="s">
        <v>83</v>
      </c>
      <c r="B200" s="1" t="s">
        <v>522</v>
      </c>
      <c r="C200" s="1" t="s">
        <v>39</v>
      </c>
      <c r="D200" s="1" t="s">
        <v>240</v>
      </c>
      <c r="E200" s="1">
        <v>1</v>
      </c>
      <c r="F200" s="1">
        <v>1</v>
      </c>
      <c r="G200" s="1">
        <v>0</v>
      </c>
      <c r="H200" s="1">
        <v>0</v>
      </c>
      <c r="M200" s="1" t="s">
        <v>547</v>
      </c>
      <c r="N200" s="1">
        <v>31</v>
      </c>
      <c r="O200" s="1">
        <v>35</v>
      </c>
      <c r="P200" s="1">
        <v>70</v>
      </c>
      <c r="Q200" s="1" t="str">
        <f t="shared" si="36"/>
        <v>1-1</v>
      </c>
      <c r="R200" s="1" t="str">
        <f t="shared" si="36"/>
        <v>1-1</v>
      </c>
      <c r="S200" s="1" t="str">
        <f t="shared" si="36"/>
        <v>6-6</v>
      </c>
      <c r="T200" s="1">
        <f t="shared" si="35"/>
        <v>6</v>
      </c>
    </row>
    <row r="201" spans="1:20">
      <c r="A201" s="1" t="s">
        <v>84</v>
      </c>
      <c r="B201" s="1" t="s">
        <v>523</v>
      </c>
      <c r="C201" s="1" t="s">
        <v>39</v>
      </c>
      <c r="D201" s="1" t="s">
        <v>241</v>
      </c>
      <c r="E201" s="1">
        <v>1</v>
      </c>
      <c r="F201" s="1">
        <v>1</v>
      </c>
      <c r="G201" s="1">
        <v>0</v>
      </c>
      <c r="H201" s="1">
        <v>0</v>
      </c>
      <c r="M201" s="1" t="s">
        <v>547</v>
      </c>
      <c r="N201" s="1">
        <v>1</v>
      </c>
      <c r="O201" s="1">
        <v>1</v>
      </c>
      <c r="P201" s="1">
        <v>70</v>
      </c>
      <c r="Q201" s="1" t="str">
        <f t="shared" si="36"/>
        <v>1-1</v>
      </c>
      <c r="R201" s="1" t="str">
        <f t="shared" si="36"/>
        <v>1-1</v>
      </c>
      <c r="S201" s="1" t="str">
        <f t="shared" si="36"/>
        <v>6-6</v>
      </c>
      <c r="T201" s="1">
        <f t="shared" si="35"/>
        <v>6</v>
      </c>
    </row>
    <row r="202" spans="1:20">
      <c r="A202" s="1" t="s">
        <v>85</v>
      </c>
      <c r="B202" s="1" t="s">
        <v>524</v>
      </c>
      <c r="C202" s="1" t="s">
        <v>39</v>
      </c>
      <c r="D202" s="1" t="s">
        <v>242</v>
      </c>
      <c r="E202" s="1">
        <v>1</v>
      </c>
      <c r="F202" s="1">
        <v>1</v>
      </c>
      <c r="G202" s="1">
        <v>0</v>
      </c>
      <c r="H202" s="1">
        <v>0</v>
      </c>
      <c r="M202" s="1" t="s">
        <v>581</v>
      </c>
      <c r="N202" s="1">
        <v>6</v>
      </c>
      <c r="O202" s="1">
        <v>7</v>
      </c>
      <c r="P202" s="1">
        <v>70</v>
      </c>
      <c r="Q202" s="1" t="str">
        <f t="shared" si="36"/>
        <v>1-1</v>
      </c>
      <c r="R202" s="1" t="str">
        <f t="shared" si="36"/>
        <v>1-1</v>
      </c>
      <c r="S202" s="1" t="str">
        <f t="shared" si="36"/>
        <v>6-6</v>
      </c>
      <c r="T202" s="1">
        <f t="shared" si="35"/>
        <v>6</v>
      </c>
    </row>
    <row r="203" spans="1:20">
      <c r="A203" s="1" t="s">
        <v>86</v>
      </c>
      <c r="B203" s="1" t="s">
        <v>525</v>
      </c>
      <c r="C203" s="1" t="s">
        <v>39</v>
      </c>
      <c r="D203" s="1" t="s">
        <v>243</v>
      </c>
      <c r="E203" s="1">
        <v>1</v>
      </c>
      <c r="F203" s="1">
        <v>1</v>
      </c>
      <c r="G203" s="1">
        <v>0</v>
      </c>
      <c r="H203" s="1">
        <v>0</v>
      </c>
      <c r="M203" s="1" t="s">
        <v>547</v>
      </c>
      <c r="N203" s="1">
        <v>12</v>
      </c>
      <c r="O203" s="1">
        <v>14</v>
      </c>
      <c r="P203" s="1">
        <v>70</v>
      </c>
      <c r="Q203" s="1" t="str">
        <f t="shared" si="36"/>
        <v>1-1</v>
      </c>
      <c r="R203" s="1" t="str">
        <f t="shared" si="36"/>
        <v>1-1</v>
      </c>
      <c r="S203" s="1" t="str">
        <f t="shared" si="36"/>
        <v>6-6</v>
      </c>
      <c r="T203" s="1">
        <f t="shared" si="35"/>
        <v>6</v>
      </c>
    </row>
    <row r="204" spans="1:20">
      <c r="A204" s="1" t="s">
        <v>87</v>
      </c>
      <c r="B204" s="1" t="s">
        <v>526</v>
      </c>
      <c r="C204" s="1" t="s">
        <v>39</v>
      </c>
      <c r="D204" s="1" t="s">
        <v>244</v>
      </c>
      <c r="E204" s="1">
        <v>1</v>
      </c>
      <c r="F204" s="1">
        <v>1</v>
      </c>
      <c r="G204" s="1">
        <v>0</v>
      </c>
      <c r="H204" s="1">
        <v>0</v>
      </c>
      <c r="M204" s="1" t="s">
        <v>547</v>
      </c>
      <c r="N204" s="1">
        <v>19</v>
      </c>
      <c r="O204" s="1">
        <v>21</v>
      </c>
      <c r="P204" s="1">
        <v>70</v>
      </c>
      <c r="Q204" s="1" t="str">
        <f t="shared" si="36"/>
        <v>1-1</v>
      </c>
      <c r="R204" s="1" t="str">
        <f t="shared" si="36"/>
        <v>1-1</v>
      </c>
      <c r="S204" s="1" t="str">
        <f t="shared" si="36"/>
        <v>6-6</v>
      </c>
      <c r="T204" s="1">
        <f t="shared" si="35"/>
        <v>6</v>
      </c>
    </row>
    <row r="205" spans="1:20">
      <c r="A205" s="1" t="s">
        <v>88</v>
      </c>
      <c r="B205" s="1" t="s">
        <v>527</v>
      </c>
      <c r="C205" s="1" t="s">
        <v>39</v>
      </c>
      <c r="D205" s="1" t="s">
        <v>245</v>
      </c>
      <c r="E205" s="1">
        <v>1</v>
      </c>
      <c r="F205" s="1">
        <v>1</v>
      </c>
      <c r="G205" s="1">
        <v>0</v>
      </c>
      <c r="H205" s="1">
        <v>0</v>
      </c>
      <c r="M205" s="1" t="s">
        <v>547</v>
      </c>
      <c r="N205" s="1">
        <v>25</v>
      </c>
      <c r="O205" s="1">
        <v>28</v>
      </c>
      <c r="P205" s="1">
        <v>70</v>
      </c>
      <c r="Q205" s="1" t="str">
        <f t="shared" si="36"/>
        <v>1-1</v>
      </c>
      <c r="R205" s="1" t="str">
        <f t="shared" si="36"/>
        <v>1-1</v>
      </c>
      <c r="S205" s="1" t="str">
        <f t="shared" si="36"/>
        <v>6-6</v>
      </c>
      <c r="T205" s="1">
        <f t="shared" si="35"/>
        <v>6</v>
      </c>
    </row>
    <row r="206" spans="1:20">
      <c r="A206" s="1" t="s">
        <v>89</v>
      </c>
      <c r="B206" s="1" t="s">
        <v>528</v>
      </c>
      <c r="C206" s="1" t="s">
        <v>39</v>
      </c>
      <c r="D206" s="1" t="s">
        <v>246</v>
      </c>
      <c r="E206" s="1">
        <v>1</v>
      </c>
      <c r="F206" s="1">
        <v>1</v>
      </c>
      <c r="G206" s="1">
        <v>0</v>
      </c>
      <c r="H206" s="1">
        <v>0</v>
      </c>
      <c r="M206" s="1" t="s">
        <v>547</v>
      </c>
      <c r="N206" s="1">
        <v>31</v>
      </c>
      <c r="O206" s="1">
        <v>35</v>
      </c>
      <c r="P206" s="1">
        <v>70</v>
      </c>
      <c r="Q206" s="1" t="str">
        <f t="shared" si="36"/>
        <v>1-1</v>
      </c>
      <c r="R206" s="1" t="str">
        <f t="shared" si="36"/>
        <v>1-1</v>
      </c>
      <c r="S206" s="1" t="str">
        <f t="shared" si="36"/>
        <v>6-6</v>
      </c>
      <c r="T206" s="1">
        <f t="shared" si="35"/>
        <v>6</v>
      </c>
    </row>
    <row r="207" spans="1:20">
      <c r="A207" s="1" t="s">
        <v>682</v>
      </c>
      <c r="B207" s="1" t="s">
        <v>493</v>
      </c>
      <c r="C207" s="1" t="s">
        <v>39</v>
      </c>
      <c r="D207" s="1" t="s">
        <v>203</v>
      </c>
      <c r="E207" s="1">
        <v>1</v>
      </c>
      <c r="F207" s="1">
        <v>1</v>
      </c>
      <c r="G207" s="1">
        <v>0</v>
      </c>
      <c r="H207" s="1">
        <v>0.25</v>
      </c>
      <c r="M207" s="1" t="s">
        <v>547</v>
      </c>
      <c r="N207" s="1">
        <v>1</v>
      </c>
      <c r="O207" s="1">
        <v>1</v>
      </c>
      <c r="P207" s="1">
        <v>70</v>
      </c>
      <c r="Q207" s="1" t="str">
        <f t="shared" si="36"/>
        <v>1-1</v>
      </c>
      <c r="R207" s="1" t="str">
        <f t="shared" si="36"/>
        <v>1-2</v>
      </c>
      <c r="S207" s="1" t="str">
        <f t="shared" si="36"/>
        <v>6-12</v>
      </c>
      <c r="T207" s="1">
        <f t="shared" si="35"/>
        <v>9</v>
      </c>
    </row>
    <row r="208" spans="1:20">
      <c r="A208" s="1" t="s">
        <v>683</v>
      </c>
      <c r="B208" s="1" t="s">
        <v>494</v>
      </c>
      <c r="C208" s="1" t="s">
        <v>39</v>
      </c>
      <c r="D208" s="1" t="s">
        <v>204</v>
      </c>
      <c r="E208" s="1">
        <v>1</v>
      </c>
      <c r="F208" s="1">
        <v>1</v>
      </c>
      <c r="G208" s="1">
        <v>0</v>
      </c>
      <c r="H208" s="1">
        <v>0.25</v>
      </c>
      <c r="M208" s="1" t="s">
        <v>581</v>
      </c>
      <c r="N208" s="1">
        <v>6</v>
      </c>
      <c r="O208" s="1">
        <v>7</v>
      </c>
      <c r="P208" s="1">
        <v>70</v>
      </c>
      <c r="Q208" s="1" t="str">
        <f t="shared" si="36"/>
        <v>1-1</v>
      </c>
      <c r="R208" s="1" t="str">
        <f t="shared" si="36"/>
        <v>1-2</v>
      </c>
      <c r="S208" s="1" t="str">
        <f t="shared" si="36"/>
        <v>6-12</v>
      </c>
      <c r="T208" s="1">
        <f t="shared" ref="T208:T243" si="37">_xlfn.LET(_xlpm.a,($E208+S$3*$G208)*(1+S$2),_xlpm.b,($F208+S$3*$H208)*(1+S$2),_xlpm.a/2+_xlpm.b/2)</f>
        <v>9</v>
      </c>
    </row>
    <row r="209" spans="1:20">
      <c r="A209" s="1" t="s">
        <v>684</v>
      </c>
      <c r="B209" s="1" t="s">
        <v>495</v>
      </c>
      <c r="C209" s="1" t="s">
        <v>39</v>
      </c>
      <c r="D209" s="1" t="s">
        <v>205</v>
      </c>
      <c r="E209" s="1">
        <v>1</v>
      </c>
      <c r="F209" s="1">
        <v>1</v>
      </c>
      <c r="G209" s="1">
        <v>0</v>
      </c>
      <c r="H209" s="1">
        <v>0.25</v>
      </c>
      <c r="M209" s="1" t="s">
        <v>547</v>
      </c>
      <c r="N209" s="1">
        <v>12</v>
      </c>
      <c r="O209" s="1">
        <v>14</v>
      </c>
      <c r="P209" s="1">
        <v>70</v>
      </c>
      <c r="Q209" s="1" t="str">
        <f t="shared" si="36"/>
        <v>1-1</v>
      </c>
      <c r="R209" s="1" t="str">
        <f t="shared" si="36"/>
        <v>1-2</v>
      </c>
      <c r="S209" s="1" t="str">
        <f t="shared" si="36"/>
        <v>6-12</v>
      </c>
      <c r="T209" s="1">
        <f t="shared" si="37"/>
        <v>9</v>
      </c>
    </row>
    <row r="210" spans="1:20">
      <c r="A210" s="1" t="s">
        <v>685</v>
      </c>
      <c r="B210" s="1" t="s">
        <v>496</v>
      </c>
      <c r="C210" s="1" t="s">
        <v>39</v>
      </c>
      <c r="D210" s="1" t="s">
        <v>206</v>
      </c>
      <c r="E210" s="1">
        <v>1</v>
      </c>
      <c r="F210" s="1">
        <v>1</v>
      </c>
      <c r="G210" s="1">
        <v>0</v>
      </c>
      <c r="H210" s="1">
        <v>0.25</v>
      </c>
      <c r="M210" s="1" t="s">
        <v>547</v>
      </c>
      <c r="N210" s="1">
        <v>19</v>
      </c>
      <c r="O210" s="1">
        <v>21</v>
      </c>
      <c r="P210" s="1">
        <v>70</v>
      </c>
      <c r="Q210" s="1" t="str">
        <f t="shared" si="36"/>
        <v>1-1</v>
      </c>
      <c r="R210" s="1" t="str">
        <f t="shared" si="36"/>
        <v>1-2</v>
      </c>
      <c r="S210" s="1" t="str">
        <f t="shared" si="36"/>
        <v>6-12</v>
      </c>
      <c r="T210" s="1">
        <f t="shared" si="37"/>
        <v>9</v>
      </c>
    </row>
    <row r="211" spans="1:20">
      <c r="A211" s="1" t="s">
        <v>686</v>
      </c>
      <c r="B211" s="1" t="s">
        <v>497</v>
      </c>
      <c r="C211" s="1" t="s">
        <v>39</v>
      </c>
      <c r="D211" s="1" t="s">
        <v>207</v>
      </c>
      <c r="E211" s="1">
        <v>1</v>
      </c>
      <c r="F211" s="1">
        <v>1</v>
      </c>
      <c r="G211" s="1">
        <v>0</v>
      </c>
      <c r="H211" s="1">
        <v>0.25</v>
      </c>
      <c r="M211" s="1" t="s">
        <v>547</v>
      </c>
      <c r="N211" s="1">
        <v>25</v>
      </c>
      <c r="O211" s="1">
        <v>28</v>
      </c>
      <c r="P211" s="1">
        <v>70</v>
      </c>
      <c r="Q211" s="1" t="str">
        <f t="shared" si="36"/>
        <v>1-1</v>
      </c>
      <c r="R211" s="1" t="str">
        <f t="shared" si="36"/>
        <v>1-2</v>
      </c>
      <c r="S211" s="1" t="str">
        <f t="shared" si="36"/>
        <v>6-12</v>
      </c>
      <c r="T211" s="1">
        <f t="shared" si="37"/>
        <v>9</v>
      </c>
    </row>
    <row r="212" spans="1:20">
      <c r="A212" s="1" t="s">
        <v>687</v>
      </c>
      <c r="B212" s="1" t="s">
        <v>498</v>
      </c>
      <c r="C212" s="1" t="s">
        <v>39</v>
      </c>
      <c r="D212" s="1" t="s">
        <v>208</v>
      </c>
      <c r="E212" s="1">
        <v>1</v>
      </c>
      <c r="F212" s="1">
        <v>1</v>
      </c>
      <c r="G212" s="1">
        <v>0</v>
      </c>
      <c r="H212" s="1">
        <v>0.25</v>
      </c>
      <c r="M212" s="1" t="s">
        <v>547</v>
      </c>
      <c r="N212" s="1">
        <v>31</v>
      </c>
      <c r="O212" s="1">
        <v>35</v>
      </c>
      <c r="P212" s="1">
        <v>70</v>
      </c>
      <c r="Q212" s="1" t="str">
        <f t="shared" si="36"/>
        <v>1-1</v>
      </c>
      <c r="R212" s="1" t="str">
        <f t="shared" si="36"/>
        <v>1-2</v>
      </c>
      <c r="S212" s="1" t="str">
        <f t="shared" si="36"/>
        <v>6-12</v>
      </c>
      <c r="T212" s="1">
        <f t="shared" si="37"/>
        <v>9</v>
      </c>
    </row>
    <row r="213" spans="1:20">
      <c r="A213" s="1" t="s">
        <v>688</v>
      </c>
      <c r="B213" s="1" t="s">
        <v>499</v>
      </c>
      <c r="C213" s="1" t="s">
        <v>39</v>
      </c>
      <c r="D213" s="1" t="s">
        <v>209</v>
      </c>
      <c r="E213" s="1">
        <v>1</v>
      </c>
      <c r="F213" s="1">
        <v>1</v>
      </c>
      <c r="G213" s="1">
        <v>0</v>
      </c>
      <c r="H213" s="1">
        <v>0.25</v>
      </c>
      <c r="M213" s="1" t="s">
        <v>547</v>
      </c>
      <c r="N213" s="1">
        <v>1</v>
      </c>
      <c r="O213" s="1">
        <v>1</v>
      </c>
      <c r="P213" s="1">
        <v>70</v>
      </c>
      <c r="Q213" s="1" t="str">
        <f t="shared" si="36"/>
        <v>1-1</v>
      </c>
      <c r="R213" s="1" t="str">
        <f t="shared" si="36"/>
        <v>1-2</v>
      </c>
      <c r="S213" s="1" t="str">
        <f t="shared" si="36"/>
        <v>6-12</v>
      </c>
      <c r="T213" s="1">
        <f t="shared" si="37"/>
        <v>9</v>
      </c>
    </row>
    <row r="214" spans="1:20">
      <c r="A214" s="1" t="s">
        <v>689</v>
      </c>
      <c r="B214" s="1" t="s">
        <v>500</v>
      </c>
      <c r="C214" s="1" t="s">
        <v>39</v>
      </c>
      <c r="D214" s="1" t="s">
        <v>210</v>
      </c>
      <c r="E214" s="1">
        <v>1</v>
      </c>
      <c r="F214" s="1">
        <v>1</v>
      </c>
      <c r="G214" s="1">
        <v>0</v>
      </c>
      <c r="H214" s="1">
        <v>0.25</v>
      </c>
      <c r="M214" s="1" t="s">
        <v>581</v>
      </c>
      <c r="N214" s="1">
        <v>6</v>
      </c>
      <c r="O214" s="1">
        <v>7</v>
      </c>
      <c r="P214" s="1">
        <v>70</v>
      </c>
      <c r="Q214" s="1" t="str">
        <f t="shared" si="36"/>
        <v>1-1</v>
      </c>
      <c r="R214" s="1" t="str">
        <f t="shared" si="36"/>
        <v>1-2</v>
      </c>
      <c r="S214" s="1" t="str">
        <f t="shared" si="36"/>
        <v>6-12</v>
      </c>
      <c r="T214" s="1">
        <f t="shared" si="37"/>
        <v>9</v>
      </c>
    </row>
    <row r="215" spans="1:20">
      <c r="A215" s="1" t="s">
        <v>690</v>
      </c>
      <c r="B215" s="1" t="s">
        <v>501</v>
      </c>
      <c r="C215" s="1" t="s">
        <v>39</v>
      </c>
      <c r="D215" s="1" t="s">
        <v>211</v>
      </c>
      <c r="E215" s="1">
        <v>1</v>
      </c>
      <c r="F215" s="1">
        <v>1</v>
      </c>
      <c r="G215" s="1">
        <v>0</v>
      </c>
      <c r="H215" s="1">
        <v>0.25</v>
      </c>
      <c r="M215" s="1" t="s">
        <v>547</v>
      </c>
      <c r="N215" s="1">
        <v>12</v>
      </c>
      <c r="O215" s="1">
        <v>14</v>
      </c>
      <c r="P215" s="1">
        <v>70</v>
      </c>
      <c r="Q215" s="1" t="str">
        <f t="shared" si="36"/>
        <v>1-1</v>
      </c>
      <c r="R215" s="1" t="str">
        <f t="shared" si="36"/>
        <v>1-2</v>
      </c>
      <c r="S215" s="1" t="str">
        <f t="shared" si="36"/>
        <v>6-12</v>
      </c>
      <c r="T215" s="1">
        <f t="shared" si="37"/>
        <v>9</v>
      </c>
    </row>
    <row r="216" spans="1:20">
      <c r="A216" s="1" t="s">
        <v>691</v>
      </c>
      <c r="B216" s="1" t="s">
        <v>502</v>
      </c>
      <c r="C216" s="1" t="s">
        <v>39</v>
      </c>
      <c r="D216" s="1" t="s">
        <v>212</v>
      </c>
      <c r="E216" s="1">
        <v>1</v>
      </c>
      <c r="F216" s="1">
        <v>1</v>
      </c>
      <c r="G216" s="1">
        <v>0</v>
      </c>
      <c r="H216" s="1">
        <v>0.25</v>
      </c>
      <c r="M216" s="1" t="s">
        <v>547</v>
      </c>
      <c r="N216" s="1">
        <v>19</v>
      </c>
      <c r="O216" s="1">
        <v>21</v>
      </c>
      <c r="P216" s="1">
        <v>70</v>
      </c>
      <c r="Q216" s="1" t="str">
        <f t="shared" si="36"/>
        <v>1-1</v>
      </c>
      <c r="R216" s="1" t="str">
        <f t="shared" si="36"/>
        <v>1-2</v>
      </c>
      <c r="S216" s="1" t="str">
        <f t="shared" si="36"/>
        <v>6-12</v>
      </c>
      <c r="T216" s="1">
        <f t="shared" si="37"/>
        <v>9</v>
      </c>
    </row>
    <row r="217" spans="1:20">
      <c r="A217" s="1" t="s">
        <v>692</v>
      </c>
      <c r="B217" s="1" t="s">
        <v>503</v>
      </c>
      <c r="C217" s="1" t="s">
        <v>39</v>
      </c>
      <c r="D217" s="1" t="s">
        <v>213</v>
      </c>
      <c r="E217" s="1">
        <v>1</v>
      </c>
      <c r="F217" s="1">
        <v>1</v>
      </c>
      <c r="G217" s="1">
        <v>0</v>
      </c>
      <c r="H217" s="1">
        <v>0.25</v>
      </c>
      <c r="M217" s="1" t="s">
        <v>547</v>
      </c>
      <c r="N217" s="1">
        <v>25</v>
      </c>
      <c r="O217" s="1">
        <v>28</v>
      </c>
      <c r="P217" s="1">
        <v>70</v>
      </c>
      <c r="Q217" s="1" t="str">
        <f t="shared" si="36"/>
        <v>1-1</v>
      </c>
      <c r="R217" s="1" t="str">
        <f t="shared" si="36"/>
        <v>1-2</v>
      </c>
      <c r="S217" s="1" t="str">
        <f t="shared" si="36"/>
        <v>6-12</v>
      </c>
      <c r="T217" s="1">
        <f t="shared" si="37"/>
        <v>9</v>
      </c>
    </row>
    <row r="218" spans="1:20">
      <c r="A218" s="1" t="s">
        <v>693</v>
      </c>
      <c r="B218" s="1" t="s">
        <v>504</v>
      </c>
      <c r="C218" s="1" t="s">
        <v>39</v>
      </c>
      <c r="D218" s="1" t="s">
        <v>214</v>
      </c>
      <c r="E218" s="1">
        <v>1</v>
      </c>
      <c r="F218" s="1">
        <v>1</v>
      </c>
      <c r="G218" s="1">
        <v>0</v>
      </c>
      <c r="H218" s="1">
        <v>0.25</v>
      </c>
      <c r="M218" s="1" t="s">
        <v>547</v>
      </c>
      <c r="N218" s="1">
        <v>31</v>
      </c>
      <c r="O218" s="1">
        <v>35</v>
      </c>
      <c r="P218" s="1">
        <v>70</v>
      </c>
      <c r="Q218" s="1" t="str">
        <f t="shared" si="36"/>
        <v>1-1</v>
      </c>
      <c r="R218" s="1" t="str">
        <f t="shared" si="36"/>
        <v>1-2</v>
      </c>
      <c r="S218" s="1" t="str">
        <f t="shared" si="36"/>
        <v>6-12</v>
      </c>
      <c r="T218" s="1">
        <f t="shared" si="37"/>
        <v>9</v>
      </c>
    </row>
    <row r="219" spans="1:20">
      <c r="A219" s="1" t="s">
        <v>694</v>
      </c>
      <c r="B219" s="1" t="s">
        <v>505</v>
      </c>
      <c r="C219" s="1" t="s">
        <v>39</v>
      </c>
      <c r="D219" s="1" t="s">
        <v>215</v>
      </c>
      <c r="E219" s="1">
        <v>1</v>
      </c>
      <c r="F219" s="1">
        <v>1</v>
      </c>
      <c r="G219" s="1">
        <v>0</v>
      </c>
      <c r="H219" s="1">
        <v>0.25</v>
      </c>
      <c r="M219" s="1" t="s">
        <v>547</v>
      </c>
      <c r="N219" s="1">
        <v>1</v>
      </c>
      <c r="O219" s="1">
        <v>1</v>
      </c>
      <c r="P219" s="1">
        <v>70</v>
      </c>
      <c r="Q219" s="1" t="str">
        <f t="shared" si="36"/>
        <v>1-1</v>
      </c>
      <c r="R219" s="1" t="str">
        <f t="shared" si="36"/>
        <v>1-2</v>
      </c>
      <c r="S219" s="1" t="str">
        <f t="shared" si="36"/>
        <v>6-12</v>
      </c>
      <c r="T219" s="1">
        <f t="shared" si="37"/>
        <v>9</v>
      </c>
    </row>
    <row r="220" spans="1:20">
      <c r="A220" s="1" t="s">
        <v>695</v>
      </c>
      <c r="B220" s="1" t="s">
        <v>506</v>
      </c>
      <c r="C220" s="1" t="s">
        <v>39</v>
      </c>
      <c r="D220" s="1" t="s">
        <v>216</v>
      </c>
      <c r="E220" s="1">
        <v>1</v>
      </c>
      <c r="F220" s="1">
        <v>1</v>
      </c>
      <c r="G220" s="1">
        <v>0</v>
      </c>
      <c r="H220" s="1">
        <v>0.25</v>
      </c>
      <c r="M220" s="1" t="s">
        <v>581</v>
      </c>
      <c r="N220" s="1">
        <v>6</v>
      </c>
      <c r="O220" s="1">
        <v>7</v>
      </c>
      <c r="P220" s="1">
        <v>70</v>
      </c>
      <c r="Q220" s="1" t="str">
        <f t="shared" si="36"/>
        <v>1-1</v>
      </c>
      <c r="R220" s="1" t="str">
        <f t="shared" si="36"/>
        <v>1-2</v>
      </c>
      <c r="S220" s="1" t="str">
        <f t="shared" si="36"/>
        <v>6-12</v>
      </c>
      <c r="T220" s="1">
        <f t="shared" si="37"/>
        <v>9</v>
      </c>
    </row>
    <row r="221" spans="1:20">
      <c r="A221" s="1" t="s">
        <v>696</v>
      </c>
      <c r="B221" s="1" t="s">
        <v>507</v>
      </c>
      <c r="C221" s="1" t="s">
        <v>39</v>
      </c>
      <c r="D221" s="1" t="s">
        <v>217</v>
      </c>
      <c r="E221" s="1">
        <v>1</v>
      </c>
      <c r="F221" s="1">
        <v>1</v>
      </c>
      <c r="G221" s="1">
        <v>0</v>
      </c>
      <c r="H221" s="1">
        <v>0.25</v>
      </c>
      <c r="M221" s="1" t="s">
        <v>547</v>
      </c>
      <c r="N221" s="1">
        <v>12</v>
      </c>
      <c r="O221" s="1">
        <v>14</v>
      </c>
      <c r="P221" s="1">
        <v>70</v>
      </c>
      <c r="Q221" s="1" t="str">
        <f t="shared" si="36"/>
        <v>1-1</v>
      </c>
      <c r="R221" s="1" t="str">
        <f t="shared" si="36"/>
        <v>1-2</v>
      </c>
      <c r="S221" s="1" t="str">
        <f t="shared" si="36"/>
        <v>6-12</v>
      </c>
      <c r="T221" s="1">
        <f t="shared" si="37"/>
        <v>9</v>
      </c>
    </row>
    <row r="222" spans="1:20">
      <c r="A222" s="1" t="s">
        <v>697</v>
      </c>
      <c r="B222" s="1" t="s">
        <v>508</v>
      </c>
      <c r="C222" s="1" t="s">
        <v>39</v>
      </c>
      <c r="D222" s="1" t="s">
        <v>218</v>
      </c>
      <c r="E222" s="1">
        <v>1</v>
      </c>
      <c r="F222" s="1">
        <v>1</v>
      </c>
      <c r="G222" s="1">
        <v>0</v>
      </c>
      <c r="H222" s="1">
        <v>0.25</v>
      </c>
      <c r="M222" s="1" t="s">
        <v>547</v>
      </c>
      <c r="N222" s="1">
        <v>19</v>
      </c>
      <c r="O222" s="1">
        <v>21</v>
      </c>
      <c r="P222" s="1">
        <v>70</v>
      </c>
      <c r="Q222" s="1" t="str">
        <f t="shared" si="36"/>
        <v>1-1</v>
      </c>
      <c r="R222" s="1" t="str">
        <f t="shared" si="36"/>
        <v>1-2</v>
      </c>
      <c r="S222" s="1" t="str">
        <f t="shared" si="36"/>
        <v>6-12</v>
      </c>
      <c r="T222" s="1">
        <f t="shared" si="37"/>
        <v>9</v>
      </c>
    </row>
    <row r="223" spans="1:20">
      <c r="A223" s="1" t="s">
        <v>698</v>
      </c>
      <c r="B223" s="1" t="s">
        <v>509</v>
      </c>
      <c r="C223" s="1" t="s">
        <v>39</v>
      </c>
      <c r="D223" s="1" t="s">
        <v>219</v>
      </c>
      <c r="E223" s="1">
        <v>1</v>
      </c>
      <c r="F223" s="1">
        <v>1</v>
      </c>
      <c r="G223" s="1">
        <v>0</v>
      </c>
      <c r="H223" s="1">
        <v>0.25</v>
      </c>
      <c r="M223" s="1" t="s">
        <v>547</v>
      </c>
      <c r="N223" s="1">
        <v>25</v>
      </c>
      <c r="O223" s="1">
        <v>28</v>
      </c>
      <c r="P223" s="1">
        <v>70</v>
      </c>
      <c r="Q223" s="1" t="str">
        <f t="shared" si="36"/>
        <v>1-1</v>
      </c>
      <c r="R223" s="1" t="str">
        <f t="shared" si="36"/>
        <v>1-2</v>
      </c>
      <c r="S223" s="1" t="str">
        <f t="shared" si="36"/>
        <v>6-12</v>
      </c>
      <c r="T223" s="1">
        <f t="shared" si="37"/>
        <v>9</v>
      </c>
    </row>
    <row r="224" spans="1:20">
      <c r="A224" s="1" t="s">
        <v>699</v>
      </c>
      <c r="B224" s="1" t="s">
        <v>510</v>
      </c>
      <c r="C224" s="1" t="s">
        <v>39</v>
      </c>
      <c r="D224" s="1" t="s">
        <v>220</v>
      </c>
      <c r="E224" s="1">
        <v>1</v>
      </c>
      <c r="F224" s="1">
        <v>1</v>
      </c>
      <c r="G224" s="1">
        <v>0</v>
      </c>
      <c r="H224" s="1">
        <v>0.25</v>
      </c>
      <c r="M224" s="1" t="s">
        <v>547</v>
      </c>
      <c r="N224" s="1">
        <v>31</v>
      </c>
      <c r="O224" s="1">
        <v>35</v>
      </c>
      <c r="P224" s="1">
        <v>70</v>
      </c>
      <c r="Q224" s="1" t="str">
        <f t="shared" si="36"/>
        <v>1-1</v>
      </c>
      <c r="R224" s="1" t="str">
        <f t="shared" si="36"/>
        <v>1-2</v>
      </c>
      <c r="S224" s="1" t="str">
        <f t="shared" si="36"/>
        <v>6-12</v>
      </c>
      <c r="T224" s="1">
        <f t="shared" si="37"/>
        <v>9</v>
      </c>
    </row>
    <row r="225" spans="1:20">
      <c r="A225" s="1" t="s">
        <v>700</v>
      </c>
      <c r="B225" s="1" t="s">
        <v>511</v>
      </c>
      <c r="C225" s="1" t="s">
        <v>39</v>
      </c>
      <c r="D225" s="1" t="s">
        <v>221</v>
      </c>
      <c r="E225" s="1">
        <v>1</v>
      </c>
      <c r="F225" s="1">
        <v>1</v>
      </c>
      <c r="G225" s="1">
        <v>0</v>
      </c>
      <c r="H225" s="1">
        <v>0.25</v>
      </c>
      <c r="M225" s="1" t="s">
        <v>547</v>
      </c>
      <c r="N225" s="1">
        <v>1</v>
      </c>
      <c r="O225" s="1">
        <v>1</v>
      </c>
      <c r="P225" s="1">
        <v>70</v>
      </c>
      <c r="Q225" s="1" t="str">
        <f t="shared" si="36"/>
        <v>1-1</v>
      </c>
      <c r="R225" s="1" t="str">
        <f t="shared" si="36"/>
        <v>1-2</v>
      </c>
      <c r="S225" s="1" t="str">
        <f t="shared" si="36"/>
        <v>6-12</v>
      </c>
      <c r="T225" s="1">
        <f t="shared" si="37"/>
        <v>9</v>
      </c>
    </row>
    <row r="226" spans="1:20">
      <c r="A226" s="1" t="s">
        <v>701</v>
      </c>
      <c r="B226" s="1" t="s">
        <v>512</v>
      </c>
      <c r="C226" s="1" t="s">
        <v>39</v>
      </c>
      <c r="D226" s="1" t="s">
        <v>222</v>
      </c>
      <c r="E226" s="1">
        <v>1</v>
      </c>
      <c r="F226" s="1">
        <v>1</v>
      </c>
      <c r="G226" s="1">
        <v>0</v>
      </c>
      <c r="H226" s="1">
        <v>0.25</v>
      </c>
      <c r="M226" s="1" t="s">
        <v>581</v>
      </c>
      <c r="N226" s="1">
        <v>6</v>
      </c>
      <c r="O226" s="1">
        <v>7</v>
      </c>
      <c r="P226" s="1">
        <v>70</v>
      </c>
      <c r="Q226" s="1" t="str">
        <f t="shared" si="36"/>
        <v>1-1</v>
      </c>
      <c r="R226" s="1" t="str">
        <f t="shared" si="36"/>
        <v>1-2</v>
      </c>
      <c r="S226" s="1" t="str">
        <f t="shared" si="36"/>
        <v>6-12</v>
      </c>
      <c r="T226" s="1">
        <f t="shared" si="37"/>
        <v>9</v>
      </c>
    </row>
    <row r="227" spans="1:20">
      <c r="A227" s="1" t="s">
        <v>702</v>
      </c>
      <c r="B227" s="1" t="s">
        <v>517</v>
      </c>
      <c r="C227" s="1" t="s">
        <v>39</v>
      </c>
      <c r="D227" s="1" t="s">
        <v>223</v>
      </c>
      <c r="E227" s="1">
        <v>1</v>
      </c>
      <c r="F227" s="1">
        <v>1</v>
      </c>
      <c r="G227" s="1">
        <v>0</v>
      </c>
      <c r="H227" s="1">
        <v>0.25</v>
      </c>
      <c r="M227" s="1" t="s">
        <v>547</v>
      </c>
      <c r="N227" s="1">
        <v>12</v>
      </c>
      <c r="O227" s="1">
        <v>14</v>
      </c>
      <c r="P227" s="1">
        <v>70</v>
      </c>
      <c r="Q227" s="1" t="str">
        <f t="shared" si="36"/>
        <v>1-1</v>
      </c>
      <c r="R227" s="1" t="str">
        <f t="shared" si="36"/>
        <v>1-2</v>
      </c>
      <c r="S227" s="1" t="str">
        <f t="shared" si="36"/>
        <v>6-12</v>
      </c>
      <c r="T227" s="1">
        <f t="shared" si="37"/>
        <v>9</v>
      </c>
    </row>
    <row r="228" spans="1:20">
      <c r="A228" s="1" t="s">
        <v>703</v>
      </c>
      <c r="B228" s="1" t="s">
        <v>513</v>
      </c>
      <c r="C228" s="1" t="s">
        <v>39</v>
      </c>
      <c r="D228" s="1" t="s">
        <v>224</v>
      </c>
      <c r="E228" s="1">
        <v>1</v>
      </c>
      <c r="F228" s="1">
        <v>1</v>
      </c>
      <c r="G228" s="1">
        <v>0</v>
      </c>
      <c r="H228" s="1">
        <v>0.25</v>
      </c>
      <c r="M228" s="1" t="s">
        <v>547</v>
      </c>
      <c r="N228" s="1">
        <v>19</v>
      </c>
      <c r="O228" s="1">
        <v>21</v>
      </c>
      <c r="P228" s="1">
        <v>70</v>
      </c>
      <c r="Q228" s="1" t="str">
        <f t="shared" si="36"/>
        <v>1-1</v>
      </c>
      <c r="R228" s="1" t="str">
        <f t="shared" si="36"/>
        <v>1-2</v>
      </c>
      <c r="S228" s="1" t="str">
        <f t="shared" si="36"/>
        <v>6-12</v>
      </c>
      <c r="T228" s="1">
        <f t="shared" si="37"/>
        <v>9</v>
      </c>
    </row>
    <row r="229" spans="1:20">
      <c r="A229" s="1" t="s">
        <v>704</v>
      </c>
      <c r="B229" s="1" t="s">
        <v>514</v>
      </c>
      <c r="C229" s="1" t="s">
        <v>39</v>
      </c>
      <c r="D229" s="1" t="s">
        <v>225</v>
      </c>
      <c r="E229" s="1">
        <v>1</v>
      </c>
      <c r="F229" s="1">
        <v>1</v>
      </c>
      <c r="G229" s="1">
        <v>0</v>
      </c>
      <c r="H229" s="1">
        <v>0.25</v>
      </c>
      <c r="M229" s="1" t="s">
        <v>547</v>
      </c>
      <c r="N229" s="1">
        <v>25</v>
      </c>
      <c r="O229" s="1">
        <v>28</v>
      </c>
      <c r="P229" s="1">
        <v>70</v>
      </c>
      <c r="Q229" s="1" t="str">
        <f t="shared" si="36"/>
        <v>1-1</v>
      </c>
      <c r="R229" s="1" t="str">
        <f t="shared" si="36"/>
        <v>1-2</v>
      </c>
      <c r="S229" s="1" t="str">
        <f t="shared" si="36"/>
        <v>6-12</v>
      </c>
      <c r="T229" s="1">
        <f t="shared" si="37"/>
        <v>9</v>
      </c>
    </row>
    <row r="230" spans="1:20">
      <c r="A230" s="1" t="s">
        <v>705</v>
      </c>
      <c r="B230" s="1" t="s">
        <v>515</v>
      </c>
      <c r="C230" s="1" t="s">
        <v>39</v>
      </c>
      <c r="D230" s="1" t="s">
        <v>226</v>
      </c>
      <c r="E230" s="1">
        <v>1</v>
      </c>
      <c r="F230" s="1">
        <v>1</v>
      </c>
      <c r="G230" s="1">
        <v>0</v>
      </c>
      <c r="H230" s="1">
        <v>0.25</v>
      </c>
      <c r="M230" s="1" t="s">
        <v>547</v>
      </c>
      <c r="N230" s="1">
        <v>31</v>
      </c>
      <c r="O230" s="1">
        <v>35</v>
      </c>
      <c r="P230" s="1">
        <v>70</v>
      </c>
      <c r="Q230" s="1" t="str">
        <f t="shared" si="36"/>
        <v>1-1</v>
      </c>
      <c r="R230" s="1" t="str">
        <f t="shared" si="36"/>
        <v>1-2</v>
      </c>
      <c r="S230" s="1" t="str">
        <f t="shared" si="36"/>
        <v>6-12</v>
      </c>
      <c r="T230" s="1">
        <f t="shared" si="37"/>
        <v>9</v>
      </c>
    </row>
    <row r="231" spans="1:20">
      <c r="A231" s="1" t="s">
        <v>706</v>
      </c>
      <c r="B231" s="1" t="s">
        <v>516</v>
      </c>
      <c r="C231" s="1" t="s">
        <v>39</v>
      </c>
      <c r="D231" s="1" t="s">
        <v>227</v>
      </c>
      <c r="E231" s="1">
        <v>1</v>
      </c>
      <c r="F231" s="1">
        <v>1</v>
      </c>
      <c r="G231" s="1">
        <v>0</v>
      </c>
      <c r="H231" s="1">
        <v>0.25</v>
      </c>
      <c r="M231" s="1" t="s">
        <v>547</v>
      </c>
      <c r="N231" s="1">
        <v>1</v>
      </c>
      <c r="O231" s="1">
        <v>1</v>
      </c>
      <c r="P231" s="1">
        <v>70</v>
      </c>
      <c r="Q231" s="1" t="str">
        <f t="shared" si="36"/>
        <v>1-1</v>
      </c>
      <c r="R231" s="1" t="str">
        <f t="shared" si="36"/>
        <v>1-2</v>
      </c>
      <c r="S231" s="1" t="str">
        <f t="shared" si="36"/>
        <v>6-12</v>
      </c>
      <c r="T231" s="1">
        <f t="shared" si="37"/>
        <v>9</v>
      </c>
    </row>
    <row r="232" spans="1:20">
      <c r="A232" s="1" t="s">
        <v>707</v>
      </c>
      <c r="B232" s="1" t="s">
        <v>518</v>
      </c>
      <c r="C232" s="1" t="s">
        <v>39</v>
      </c>
      <c r="D232" s="1" t="s">
        <v>228</v>
      </c>
      <c r="E232" s="1">
        <v>1</v>
      </c>
      <c r="F232" s="1">
        <v>1</v>
      </c>
      <c r="G232" s="1">
        <v>0</v>
      </c>
      <c r="H232" s="1">
        <v>0.25</v>
      </c>
      <c r="M232" s="1" t="s">
        <v>581</v>
      </c>
      <c r="N232" s="1">
        <v>6</v>
      </c>
      <c r="O232" s="1">
        <v>7</v>
      </c>
      <c r="P232" s="1">
        <v>70</v>
      </c>
      <c r="Q232" s="1" t="str">
        <f t="shared" si="36"/>
        <v>1-1</v>
      </c>
      <c r="R232" s="1" t="str">
        <f t="shared" si="36"/>
        <v>1-2</v>
      </c>
      <c r="S232" s="1" t="str">
        <f t="shared" si="36"/>
        <v>6-12</v>
      </c>
      <c r="T232" s="1">
        <f t="shared" si="37"/>
        <v>9</v>
      </c>
    </row>
    <row r="233" spans="1:20">
      <c r="A233" s="1" t="s">
        <v>708</v>
      </c>
      <c r="B233" s="1" t="s">
        <v>521</v>
      </c>
      <c r="C233" s="1" t="s">
        <v>39</v>
      </c>
      <c r="D233" s="1" t="s">
        <v>229</v>
      </c>
      <c r="E233" s="1">
        <v>1</v>
      </c>
      <c r="F233" s="1">
        <v>1</v>
      </c>
      <c r="G233" s="1">
        <v>0</v>
      </c>
      <c r="H233" s="1">
        <v>0.25</v>
      </c>
      <c r="M233" s="1" t="s">
        <v>547</v>
      </c>
      <c r="N233" s="1">
        <v>12</v>
      </c>
      <c r="O233" s="1">
        <v>14</v>
      </c>
      <c r="P233" s="1">
        <v>70</v>
      </c>
      <c r="Q233" s="1" t="str">
        <f t="shared" si="36"/>
        <v>1-1</v>
      </c>
      <c r="R233" s="1" t="str">
        <f t="shared" si="36"/>
        <v>1-2</v>
      </c>
      <c r="S233" s="1" t="str">
        <f t="shared" si="36"/>
        <v>6-12</v>
      </c>
      <c r="T233" s="1">
        <f t="shared" si="37"/>
        <v>9</v>
      </c>
    </row>
    <row r="234" spans="1:20">
      <c r="A234" s="1" t="s">
        <v>709</v>
      </c>
      <c r="B234" s="1" t="s">
        <v>519</v>
      </c>
      <c r="C234" s="1" t="s">
        <v>39</v>
      </c>
      <c r="D234" s="1" t="s">
        <v>230</v>
      </c>
      <c r="E234" s="1">
        <v>1</v>
      </c>
      <c r="F234" s="1">
        <v>1</v>
      </c>
      <c r="G234" s="1">
        <v>0</v>
      </c>
      <c r="H234" s="1">
        <v>0.25</v>
      </c>
      <c r="M234" s="1" t="s">
        <v>547</v>
      </c>
      <c r="N234" s="1">
        <v>19</v>
      </c>
      <c r="O234" s="1">
        <v>21</v>
      </c>
      <c r="P234" s="1">
        <v>70</v>
      </c>
      <c r="Q234" s="1" t="str">
        <f t="shared" si="36"/>
        <v>1-1</v>
      </c>
      <c r="R234" s="1" t="str">
        <f t="shared" si="36"/>
        <v>1-2</v>
      </c>
      <c r="S234" s="1" t="str">
        <f t="shared" si="36"/>
        <v>6-12</v>
      </c>
      <c r="T234" s="1">
        <f t="shared" si="37"/>
        <v>9</v>
      </c>
    </row>
    <row r="235" spans="1:20">
      <c r="A235" s="1" t="s">
        <v>710</v>
      </c>
      <c r="B235" s="1" t="s">
        <v>520</v>
      </c>
      <c r="C235" s="1" t="s">
        <v>39</v>
      </c>
      <c r="D235" s="1" t="s">
        <v>239</v>
      </c>
      <c r="E235" s="1">
        <v>1</v>
      </c>
      <c r="F235" s="1">
        <v>1</v>
      </c>
      <c r="G235" s="1">
        <v>0</v>
      </c>
      <c r="H235" s="1">
        <v>0.25</v>
      </c>
      <c r="M235" s="1" t="s">
        <v>547</v>
      </c>
      <c r="N235" s="1">
        <v>25</v>
      </c>
      <c r="O235" s="1">
        <v>28</v>
      </c>
      <c r="P235" s="1">
        <v>70</v>
      </c>
      <c r="Q235" s="1" t="str">
        <f t="shared" si="36"/>
        <v>1-1</v>
      </c>
      <c r="R235" s="1" t="str">
        <f t="shared" si="36"/>
        <v>1-2</v>
      </c>
      <c r="S235" s="1" t="str">
        <f t="shared" si="36"/>
        <v>6-12</v>
      </c>
      <c r="T235" s="1">
        <f t="shared" si="37"/>
        <v>9</v>
      </c>
    </row>
    <row r="236" spans="1:20">
      <c r="A236" s="1" t="s">
        <v>711</v>
      </c>
      <c r="B236" s="1" t="s">
        <v>522</v>
      </c>
      <c r="C236" s="1" t="s">
        <v>39</v>
      </c>
      <c r="D236" s="1" t="s">
        <v>240</v>
      </c>
      <c r="E236" s="1">
        <v>1</v>
      </c>
      <c r="F236" s="1">
        <v>1</v>
      </c>
      <c r="G236" s="1">
        <v>0</v>
      </c>
      <c r="H236" s="1">
        <v>0.25</v>
      </c>
      <c r="M236" s="1" t="s">
        <v>547</v>
      </c>
      <c r="N236" s="1">
        <v>31</v>
      </c>
      <c r="O236" s="1">
        <v>35</v>
      </c>
      <c r="P236" s="1">
        <v>70</v>
      </c>
      <c r="Q236" s="1" t="str">
        <f t="shared" si="36"/>
        <v>1-1</v>
      </c>
      <c r="R236" s="1" t="str">
        <f t="shared" si="36"/>
        <v>1-2</v>
      </c>
      <c r="S236" s="1" t="str">
        <f t="shared" si="36"/>
        <v>6-12</v>
      </c>
      <c r="T236" s="1">
        <f t="shared" si="37"/>
        <v>9</v>
      </c>
    </row>
    <row r="237" spans="1:20">
      <c r="A237" s="1" t="s">
        <v>712</v>
      </c>
      <c r="B237" s="1" t="s">
        <v>523</v>
      </c>
      <c r="C237" s="1" t="s">
        <v>39</v>
      </c>
      <c r="D237" s="1" t="s">
        <v>241</v>
      </c>
      <c r="E237" s="1">
        <v>1</v>
      </c>
      <c r="F237" s="1">
        <v>1</v>
      </c>
      <c r="G237" s="1">
        <v>0</v>
      </c>
      <c r="H237" s="1">
        <v>0.25</v>
      </c>
      <c r="M237" s="1" t="s">
        <v>547</v>
      </c>
      <c r="N237" s="1">
        <v>1</v>
      </c>
      <c r="O237" s="1">
        <v>1</v>
      </c>
      <c r="P237" s="1">
        <v>70</v>
      </c>
      <c r="Q237" s="1" t="str">
        <f t="shared" si="36"/>
        <v>1-1</v>
      </c>
      <c r="R237" s="1" t="str">
        <f t="shared" si="36"/>
        <v>1-2</v>
      </c>
      <c r="S237" s="1" t="str">
        <f t="shared" si="36"/>
        <v>6-12</v>
      </c>
      <c r="T237" s="1">
        <f t="shared" si="37"/>
        <v>9</v>
      </c>
    </row>
    <row r="238" spans="1:20">
      <c r="A238" s="1" t="s">
        <v>713</v>
      </c>
      <c r="B238" s="1" t="s">
        <v>524</v>
      </c>
      <c r="C238" s="1" t="s">
        <v>39</v>
      </c>
      <c r="D238" s="1" t="s">
        <v>242</v>
      </c>
      <c r="E238" s="1">
        <v>1</v>
      </c>
      <c r="F238" s="1">
        <v>1</v>
      </c>
      <c r="G238" s="1">
        <v>0</v>
      </c>
      <c r="H238" s="1">
        <v>0.25</v>
      </c>
      <c r="M238" s="1" t="s">
        <v>581</v>
      </c>
      <c r="N238" s="1">
        <v>6</v>
      </c>
      <c r="O238" s="1">
        <v>7</v>
      </c>
      <c r="P238" s="1">
        <v>70</v>
      </c>
      <c r="Q238" s="1" t="str">
        <f t="shared" si="36"/>
        <v>1-1</v>
      </c>
      <c r="R238" s="1" t="str">
        <f t="shared" si="36"/>
        <v>1-2</v>
      </c>
      <c r="S238" s="1" t="str">
        <f t="shared" si="36"/>
        <v>6-12</v>
      </c>
      <c r="T238" s="1">
        <f t="shared" si="37"/>
        <v>9</v>
      </c>
    </row>
    <row r="239" spans="1:20">
      <c r="A239" s="1" t="s">
        <v>714</v>
      </c>
      <c r="B239" s="1" t="s">
        <v>525</v>
      </c>
      <c r="C239" s="1" t="s">
        <v>39</v>
      </c>
      <c r="D239" s="1" t="s">
        <v>243</v>
      </c>
      <c r="E239" s="1">
        <v>1</v>
      </c>
      <c r="F239" s="1">
        <v>1</v>
      </c>
      <c r="G239" s="1">
        <v>0</v>
      </c>
      <c r="H239" s="1">
        <v>0.25</v>
      </c>
      <c r="M239" s="1" t="s">
        <v>547</v>
      </c>
      <c r="N239" s="1">
        <v>12</v>
      </c>
      <c r="O239" s="1">
        <v>14</v>
      </c>
      <c r="P239" s="1">
        <v>70</v>
      </c>
      <c r="Q239" s="1" t="str">
        <f t="shared" si="36"/>
        <v>1-1</v>
      </c>
      <c r="R239" s="1" t="str">
        <f t="shared" si="36"/>
        <v>1-2</v>
      </c>
      <c r="S239" s="1" t="str">
        <f t="shared" si="36"/>
        <v>6-12</v>
      </c>
      <c r="T239" s="1">
        <f t="shared" si="37"/>
        <v>9</v>
      </c>
    </row>
    <row r="240" spans="1:20">
      <c r="A240" s="1" t="s">
        <v>715</v>
      </c>
      <c r="B240" s="1" t="s">
        <v>526</v>
      </c>
      <c r="C240" s="1" t="s">
        <v>39</v>
      </c>
      <c r="D240" s="1" t="s">
        <v>244</v>
      </c>
      <c r="E240" s="1">
        <v>1</v>
      </c>
      <c r="F240" s="1">
        <v>1</v>
      </c>
      <c r="G240" s="1">
        <v>0</v>
      </c>
      <c r="H240" s="1">
        <v>0.25</v>
      </c>
      <c r="M240" s="1" t="s">
        <v>547</v>
      </c>
      <c r="N240" s="1">
        <v>19</v>
      </c>
      <c r="O240" s="1">
        <v>21</v>
      </c>
      <c r="P240" s="1">
        <v>70</v>
      </c>
      <c r="Q240" s="1" t="str">
        <f t="shared" si="36"/>
        <v>1-1</v>
      </c>
      <c r="R240" s="1" t="str">
        <f t="shared" si="36"/>
        <v>1-2</v>
      </c>
      <c r="S240" s="1" t="str">
        <f t="shared" si="36"/>
        <v>6-12</v>
      </c>
      <c r="T240" s="1">
        <f t="shared" si="37"/>
        <v>9</v>
      </c>
    </row>
    <row r="241" spans="1:20">
      <c r="A241" s="1" t="s">
        <v>716</v>
      </c>
      <c r="B241" s="1" t="s">
        <v>527</v>
      </c>
      <c r="C241" s="1" t="s">
        <v>39</v>
      </c>
      <c r="D241" s="1" t="s">
        <v>245</v>
      </c>
      <c r="E241" s="1">
        <v>1</v>
      </c>
      <c r="F241" s="1">
        <v>1</v>
      </c>
      <c r="G241" s="1">
        <v>0</v>
      </c>
      <c r="H241" s="1">
        <v>0.25</v>
      </c>
      <c r="M241" s="1" t="s">
        <v>547</v>
      </c>
      <c r="N241" s="1">
        <v>25</v>
      </c>
      <c r="O241" s="1">
        <v>28</v>
      </c>
      <c r="P241" s="1">
        <v>70</v>
      </c>
      <c r="Q241" s="1" t="str">
        <f t="shared" si="36"/>
        <v>1-1</v>
      </c>
      <c r="R241" s="1" t="str">
        <f t="shared" si="36"/>
        <v>1-2</v>
      </c>
      <c r="S241" s="1" t="str">
        <f t="shared" si="36"/>
        <v>6-12</v>
      </c>
      <c r="T241" s="1">
        <f t="shared" si="37"/>
        <v>9</v>
      </c>
    </row>
    <row r="242" spans="1:20">
      <c r="A242" s="1" t="s">
        <v>717</v>
      </c>
      <c r="B242" s="1" t="s">
        <v>528</v>
      </c>
      <c r="C242" s="1" t="s">
        <v>39</v>
      </c>
      <c r="D242" s="1" t="s">
        <v>246</v>
      </c>
      <c r="E242" s="1">
        <v>1</v>
      </c>
      <c r="F242" s="1">
        <v>1</v>
      </c>
      <c r="G242" s="1">
        <v>0</v>
      </c>
      <c r="H242" s="1">
        <v>0.25</v>
      </c>
      <c r="M242" s="1" t="s">
        <v>547</v>
      </c>
      <c r="N242" s="1">
        <v>31</v>
      </c>
      <c r="O242" s="1">
        <v>35</v>
      </c>
      <c r="P242" s="1">
        <v>70</v>
      </c>
      <c r="Q242" s="1" t="str">
        <f t="shared" si="36"/>
        <v>1-1</v>
      </c>
      <c r="R242" s="1" t="str">
        <f t="shared" si="36"/>
        <v>1-2</v>
      </c>
      <c r="S242" s="1" t="str">
        <f t="shared" si="36"/>
        <v>6-12</v>
      </c>
      <c r="T242" s="1">
        <f t="shared" si="37"/>
        <v>9</v>
      </c>
    </row>
    <row r="243" spans="1:20">
      <c r="A243" s="1" t="s">
        <v>718</v>
      </c>
      <c r="B243" s="1" t="s">
        <v>493</v>
      </c>
      <c r="C243" s="1" t="s">
        <v>39</v>
      </c>
      <c r="D243" s="1" t="s">
        <v>203</v>
      </c>
      <c r="E243" s="1">
        <v>1</v>
      </c>
      <c r="F243" s="1">
        <v>1</v>
      </c>
      <c r="G243" s="1">
        <v>0</v>
      </c>
      <c r="H243" s="1">
        <v>0.5</v>
      </c>
      <c r="M243" s="1" t="s">
        <v>547</v>
      </c>
      <c r="N243" s="1">
        <v>1</v>
      </c>
      <c r="O243" s="1">
        <v>1</v>
      </c>
      <c r="P243" s="1">
        <v>70</v>
      </c>
      <c r="Q243" s="1" t="str">
        <f t="shared" si="36"/>
        <v>1-1</v>
      </c>
      <c r="R243" s="1" t="str">
        <f t="shared" si="36"/>
        <v>1-3</v>
      </c>
      <c r="S243" s="1" t="str">
        <f t="shared" si="36"/>
        <v>6-18</v>
      </c>
      <c r="T243" s="1">
        <f t="shared" si="37"/>
        <v>12</v>
      </c>
    </row>
    <row r="244" spans="1:20">
      <c r="A244" s="1" t="s">
        <v>719</v>
      </c>
      <c r="B244" s="1" t="s">
        <v>494</v>
      </c>
      <c r="C244" s="1" t="s">
        <v>39</v>
      </c>
      <c r="D244" s="1" t="s">
        <v>204</v>
      </c>
      <c r="E244" s="1">
        <v>1</v>
      </c>
      <c r="F244" s="1">
        <v>1</v>
      </c>
      <c r="G244" s="1">
        <v>0</v>
      </c>
      <c r="H244" s="1">
        <v>0.5</v>
      </c>
      <c r="M244" s="1" t="s">
        <v>581</v>
      </c>
      <c r="N244" s="1">
        <v>6</v>
      </c>
      <c r="O244" s="1">
        <v>7</v>
      </c>
      <c r="P244" s="1">
        <v>70</v>
      </c>
      <c r="Q244" s="1" t="str">
        <f t="shared" si="36"/>
        <v>1-1</v>
      </c>
      <c r="R244" s="1" t="str">
        <f t="shared" si="36"/>
        <v>1-3</v>
      </c>
      <c r="S244" s="1" t="str">
        <f t="shared" si="36"/>
        <v>6-18</v>
      </c>
      <c r="T244" s="1">
        <f t="shared" ref="T244:T278" si="38">_xlfn.LET(_xlpm.a,($E244+S$3*$G244)*(1+S$2),_xlpm.b,($F244+S$3*$H244)*(1+S$2),_xlpm.a/2+_xlpm.b/2)</f>
        <v>12</v>
      </c>
    </row>
    <row r="245" spans="1:20">
      <c r="A245" s="1" t="s">
        <v>720</v>
      </c>
      <c r="B245" s="1" t="s">
        <v>495</v>
      </c>
      <c r="C245" s="1" t="s">
        <v>39</v>
      </c>
      <c r="D245" s="1" t="s">
        <v>205</v>
      </c>
      <c r="E245" s="1">
        <v>1</v>
      </c>
      <c r="F245" s="1">
        <v>1</v>
      </c>
      <c r="G245" s="1">
        <v>0</v>
      </c>
      <c r="H245" s="1">
        <v>0.5</v>
      </c>
      <c r="M245" s="1" t="s">
        <v>547</v>
      </c>
      <c r="N245" s="1">
        <v>12</v>
      </c>
      <c r="O245" s="1">
        <v>14</v>
      </c>
      <c r="P245" s="1">
        <v>70</v>
      </c>
      <c r="Q245" s="1" t="str">
        <f t="shared" si="36"/>
        <v>1-1</v>
      </c>
      <c r="R245" s="1" t="str">
        <f t="shared" si="36"/>
        <v>1-3</v>
      </c>
      <c r="S245" s="1" t="str">
        <f t="shared" si="36"/>
        <v>6-18</v>
      </c>
      <c r="T245" s="1">
        <f t="shared" si="38"/>
        <v>12</v>
      </c>
    </row>
    <row r="246" spans="1:20">
      <c r="A246" s="1" t="s">
        <v>721</v>
      </c>
      <c r="B246" s="1" t="s">
        <v>496</v>
      </c>
      <c r="C246" s="1" t="s">
        <v>39</v>
      </c>
      <c r="D246" s="1" t="s">
        <v>206</v>
      </c>
      <c r="E246" s="1">
        <v>1</v>
      </c>
      <c r="F246" s="1">
        <v>1</v>
      </c>
      <c r="G246" s="1">
        <v>0</v>
      </c>
      <c r="H246" s="1">
        <v>0.5</v>
      </c>
      <c r="M246" s="1" t="s">
        <v>547</v>
      </c>
      <c r="N246" s="1">
        <v>19</v>
      </c>
      <c r="O246" s="1">
        <v>21</v>
      </c>
      <c r="P246" s="1">
        <v>70</v>
      </c>
      <c r="Q246" s="1" t="str">
        <f t="shared" si="36"/>
        <v>1-1</v>
      </c>
      <c r="R246" s="1" t="str">
        <f t="shared" si="36"/>
        <v>1-3</v>
      </c>
      <c r="S246" s="1" t="str">
        <f t="shared" si="36"/>
        <v>6-18</v>
      </c>
      <c r="T246" s="1">
        <f t="shared" si="38"/>
        <v>12</v>
      </c>
    </row>
    <row r="247" spans="1:20">
      <c r="A247" s="1" t="s">
        <v>722</v>
      </c>
      <c r="B247" s="1" t="s">
        <v>497</v>
      </c>
      <c r="C247" s="1" t="s">
        <v>39</v>
      </c>
      <c r="D247" s="1" t="s">
        <v>207</v>
      </c>
      <c r="E247" s="1">
        <v>1</v>
      </c>
      <c r="F247" s="1">
        <v>1</v>
      </c>
      <c r="G247" s="1">
        <v>0</v>
      </c>
      <c r="H247" s="1">
        <v>0.5</v>
      </c>
      <c r="M247" s="1" t="s">
        <v>547</v>
      </c>
      <c r="N247" s="1">
        <v>25</v>
      </c>
      <c r="O247" s="1">
        <v>28</v>
      </c>
      <c r="P247" s="1">
        <v>70</v>
      </c>
      <c r="Q247" s="1" t="str">
        <f t="shared" si="36"/>
        <v>1-1</v>
      </c>
      <c r="R247" s="1" t="str">
        <f t="shared" si="36"/>
        <v>1-3</v>
      </c>
      <c r="S247" s="1" t="str">
        <f t="shared" si="36"/>
        <v>6-18</v>
      </c>
      <c r="T247" s="1">
        <f t="shared" si="38"/>
        <v>12</v>
      </c>
    </row>
    <row r="248" spans="1:20">
      <c r="A248" s="1" t="s">
        <v>723</v>
      </c>
      <c r="B248" s="1" t="s">
        <v>498</v>
      </c>
      <c r="C248" s="1" t="s">
        <v>39</v>
      </c>
      <c r="D248" s="1" t="s">
        <v>208</v>
      </c>
      <c r="E248" s="1">
        <v>1</v>
      </c>
      <c r="F248" s="1">
        <v>1</v>
      </c>
      <c r="G248" s="1">
        <v>0</v>
      </c>
      <c r="H248" s="1">
        <v>0.5</v>
      </c>
      <c r="M248" s="1" t="s">
        <v>547</v>
      </c>
      <c r="N248" s="1">
        <v>31</v>
      </c>
      <c r="O248" s="1">
        <v>35</v>
      </c>
      <c r="P248" s="1">
        <v>70</v>
      </c>
      <c r="Q248" s="1" t="str">
        <f t="shared" si="36"/>
        <v>1-1</v>
      </c>
      <c r="R248" s="1" t="str">
        <f t="shared" si="36"/>
        <v>1-3</v>
      </c>
      <c r="S248" s="1" t="str">
        <f t="shared" si="36"/>
        <v>6-18</v>
      </c>
      <c r="T248" s="1">
        <f t="shared" si="38"/>
        <v>12</v>
      </c>
    </row>
    <row r="249" spans="1:20">
      <c r="A249" s="1" t="s">
        <v>724</v>
      </c>
      <c r="B249" s="1" t="s">
        <v>499</v>
      </c>
      <c r="C249" s="1" t="s">
        <v>39</v>
      </c>
      <c r="D249" s="1" t="s">
        <v>209</v>
      </c>
      <c r="E249" s="1">
        <v>1</v>
      </c>
      <c r="F249" s="1">
        <v>1</v>
      </c>
      <c r="G249" s="1">
        <v>0</v>
      </c>
      <c r="H249" s="1">
        <v>0.5</v>
      </c>
      <c r="M249" s="1" t="s">
        <v>547</v>
      </c>
      <c r="N249" s="1">
        <v>1</v>
      </c>
      <c r="O249" s="1">
        <v>1</v>
      </c>
      <c r="P249" s="1">
        <v>70</v>
      </c>
      <c r="Q249" s="1" t="str">
        <f t="shared" si="36"/>
        <v>1-1</v>
      </c>
      <c r="R249" s="1" t="str">
        <f t="shared" si="36"/>
        <v>1-3</v>
      </c>
      <c r="S249" s="1" t="str">
        <f t="shared" si="36"/>
        <v>6-18</v>
      </c>
      <c r="T249" s="1">
        <f t="shared" si="38"/>
        <v>12</v>
      </c>
    </row>
    <row r="250" spans="1:20">
      <c r="A250" s="1" t="s">
        <v>725</v>
      </c>
      <c r="B250" s="1" t="s">
        <v>500</v>
      </c>
      <c r="C250" s="1" t="s">
        <v>39</v>
      </c>
      <c r="D250" s="1" t="s">
        <v>210</v>
      </c>
      <c r="E250" s="1">
        <v>1</v>
      </c>
      <c r="F250" s="1">
        <v>1</v>
      </c>
      <c r="G250" s="1">
        <v>0</v>
      </c>
      <c r="H250" s="1">
        <v>0.5</v>
      </c>
      <c r="M250" s="1" t="s">
        <v>581</v>
      </c>
      <c r="N250" s="1">
        <v>6</v>
      </c>
      <c r="O250" s="1">
        <v>7</v>
      </c>
      <c r="P250" s="1">
        <v>70</v>
      </c>
      <c r="Q250" s="1" t="str">
        <f t="shared" si="36"/>
        <v>1-1</v>
      </c>
      <c r="R250" s="1" t="str">
        <f t="shared" si="36"/>
        <v>1-3</v>
      </c>
      <c r="S250" s="1" t="str">
        <f t="shared" si="36"/>
        <v>6-18</v>
      </c>
      <c r="T250" s="1">
        <f t="shared" si="38"/>
        <v>12</v>
      </c>
    </row>
    <row r="251" spans="1:20">
      <c r="A251" s="1" t="s">
        <v>726</v>
      </c>
      <c r="B251" s="1" t="s">
        <v>501</v>
      </c>
      <c r="C251" s="1" t="s">
        <v>39</v>
      </c>
      <c r="D251" s="1" t="s">
        <v>211</v>
      </c>
      <c r="E251" s="1">
        <v>1</v>
      </c>
      <c r="F251" s="1">
        <v>1</v>
      </c>
      <c r="G251" s="1">
        <v>0</v>
      </c>
      <c r="H251" s="1">
        <v>0.5</v>
      </c>
      <c r="M251" s="1" t="s">
        <v>547</v>
      </c>
      <c r="N251" s="1">
        <v>12</v>
      </c>
      <c r="O251" s="1">
        <v>14</v>
      </c>
      <c r="P251" s="1">
        <v>70</v>
      </c>
      <c r="Q251" s="1" t="str">
        <f t="shared" si="36"/>
        <v>1-1</v>
      </c>
      <c r="R251" s="1" t="str">
        <f t="shared" si="36"/>
        <v>1-3</v>
      </c>
      <c r="S251" s="1" t="str">
        <f t="shared" si="36"/>
        <v>6-18</v>
      </c>
      <c r="T251" s="1">
        <f t="shared" si="38"/>
        <v>12</v>
      </c>
    </row>
    <row r="252" spans="1:20">
      <c r="A252" s="1" t="s">
        <v>727</v>
      </c>
      <c r="B252" s="1" t="s">
        <v>502</v>
      </c>
      <c r="C252" s="1" t="s">
        <v>39</v>
      </c>
      <c r="D252" s="1" t="s">
        <v>212</v>
      </c>
      <c r="E252" s="1">
        <v>1</v>
      </c>
      <c r="F252" s="1">
        <v>1</v>
      </c>
      <c r="G252" s="1">
        <v>0</v>
      </c>
      <c r="H252" s="1">
        <v>0.5</v>
      </c>
      <c r="M252" s="1" t="s">
        <v>547</v>
      </c>
      <c r="N252" s="1">
        <v>19</v>
      </c>
      <c r="O252" s="1">
        <v>21</v>
      </c>
      <c r="P252" s="1">
        <v>70</v>
      </c>
      <c r="Q252" s="1" t="str">
        <f t="shared" si="36"/>
        <v>1-1</v>
      </c>
      <c r="R252" s="1" t="str">
        <f t="shared" si="36"/>
        <v>1-3</v>
      </c>
      <c r="S252" s="1" t="str">
        <f t="shared" si="36"/>
        <v>6-18</v>
      </c>
      <c r="T252" s="1">
        <f t="shared" si="38"/>
        <v>12</v>
      </c>
    </row>
    <row r="253" spans="1:20">
      <c r="A253" s="1" t="s">
        <v>728</v>
      </c>
      <c r="B253" s="1" t="s">
        <v>503</v>
      </c>
      <c r="C253" s="1" t="s">
        <v>39</v>
      </c>
      <c r="D253" s="1" t="s">
        <v>213</v>
      </c>
      <c r="E253" s="1">
        <v>1</v>
      </c>
      <c r="F253" s="1">
        <v>1</v>
      </c>
      <c r="G253" s="1">
        <v>0</v>
      </c>
      <c r="H253" s="1">
        <v>0.5</v>
      </c>
      <c r="M253" s="1" t="s">
        <v>547</v>
      </c>
      <c r="N253" s="1">
        <v>25</v>
      </c>
      <c r="O253" s="1">
        <v>28</v>
      </c>
      <c r="P253" s="1">
        <v>70</v>
      </c>
      <c r="Q253" s="1" t="str">
        <f t="shared" si="36"/>
        <v>1-1</v>
      </c>
      <c r="R253" s="1" t="str">
        <f t="shared" si="36"/>
        <v>1-3</v>
      </c>
      <c r="S253" s="1" t="str">
        <f t="shared" si="36"/>
        <v>6-18</v>
      </c>
      <c r="T253" s="1">
        <f t="shared" si="38"/>
        <v>12</v>
      </c>
    </row>
    <row r="254" spans="1:20">
      <c r="A254" s="1" t="s">
        <v>729</v>
      </c>
      <c r="B254" s="1" t="s">
        <v>504</v>
      </c>
      <c r="C254" s="1" t="s">
        <v>39</v>
      </c>
      <c r="D254" s="1" t="s">
        <v>214</v>
      </c>
      <c r="E254" s="1">
        <v>1</v>
      </c>
      <c r="F254" s="1">
        <v>1</v>
      </c>
      <c r="G254" s="1">
        <v>0</v>
      </c>
      <c r="H254" s="1">
        <v>0.5</v>
      </c>
      <c r="M254" s="1" t="s">
        <v>547</v>
      </c>
      <c r="N254" s="1">
        <v>31</v>
      </c>
      <c r="O254" s="1">
        <v>35</v>
      </c>
      <c r="P254" s="1">
        <v>70</v>
      </c>
      <c r="Q254" s="1" t="str">
        <f t="shared" si="36"/>
        <v>1-1</v>
      </c>
      <c r="R254" s="1" t="str">
        <f t="shared" si="36"/>
        <v>1-3</v>
      </c>
      <c r="S254" s="1" t="str">
        <f t="shared" si="36"/>
        <v>6-18</v>
      </c>
      <c r="T254" s="1">
        <f t="shared" si="38"/>
        <v>12</v>
      </c>
    </row>
    <row r="255" spans="1:20">
      <c r="A255" s="1" t="s">
        <v>730</v>
      </c>
      <c r="B255" s="1" t="s">
        <v>505</v>
      </c>
      <c r="C255" s="1" t="s">
        <v>39</v>
      </c>
      <c r="D255" s="1" t="s">
        <v>215</v>
      </c>
      <c r="E255" s="1">
        <v>1</v>
      </c>
      <c r="F255" s="1">
        <v>1</v>
      </c>
      <c r="G255" s="1">
        <v>0</v>
      </c>
      <c r="H255" s="1">
        <v>0.5</v>
      </c>
      <c r="M255" s="1" t="s">
        <v>547</v>
      </c>
      <c r="N255" s="1">
        <v>1</v>
      </c>
      <c r="O255" s="1">
        <v>1</v>
      </c>
      <c r="P255" s="1">
        <v>70</v>
      </c>
      <c r="Q255" s="1" t="str">
        <f t="shared" si="36"/>
        <v>1-1</v>
      </c>
      <c r="R255" s="1" t="str">
        <f t="shared" si="36"/>
        <v>1-3</v>
      </c>
      <c r="S255" s="1" t="str">
        <f t="shared" si="36"/>
        <v>6-18</v>
      </c>
      <c r="T255" s="1">
        <f t="shared" si="38"/>
        <v>12</v>
      </c>
    </row>
    <row r="256" spans="1:20">
      <c r="A256" s="1" t="s">
        <v>731</v>
      </c>
      <c r="B256" s="1" t="s">
        <v>506</v>
      </c>
      <c r="C256" s="1" t="s">
        <v>39</v>
      </c>
      <c r="D256" s="1" t="s">
        <v>216</v>
      </c>
      <c r="E256" s="1">
        <v>1</v>
      </c>
      <c r="F256" s="1">
        <v>1</v>
      </c>
      <c r="G256" s="1">
        <v>0</v>
      </c>
      <c r="H256" s="1">
        <v>0.5</v>
      </c>
      <c r="M256" s="1" t="s">
        <v>581</v>
      </c>
      <c r="N256" s="1">
        <v>6</v>
      </c>
      <c r="O256" s="1">
        <v>7</v>
      </c>
      <c r="P256" s="1">
        <v>70</v>
      </c>
      <c r="Q256" s="1" t="str">
        <f t="shared" si="36"/>
        <v>1-1</v>
      </c>
      <c r="R256" s="1" t="str">
        <f t="shared" si="36"/>
        <v>1-3</v>
      </c>
      <c r="S256" s="1" t="str">
        <f t="shared" si="36"/>
        <v>6-18</v>
      </c>
      <c r="T256" s="1">
        <f t="shared" si="38"/>
        <v>12</v>
      </c>
    </row>
    <row r="257" spans="1:20">
      <c r="A257" s="1" t="s">
        <v>732</v>
      </c>
      <c r="B257" s="1" t="s">
        <v>507</v>
      </c>
      <c r="C257" s="1" t="s">
        <v>39</v>
      </c>
      <c r="D257" s="1" t="s">
        <v>217</v>
      </c>
      <c r="E257" s="1">
        <v>1</v>
      </c>
      <c r="F257" s="1">
        <v>1</v>
      </c>
      <c r="G257" s="1">
        <v>0</v>
      </c>
      <c r="H257" s="1">
        <v>0.5</v>
      </c>
      <c r="M257" s="1" t="s">
        <v>547</v>
      </c>
      <c r="N257" s="1">
        <v>12</v>
      </c>
      <c r="O257" s="1">
        <v>14</v>
      </c>
      <c r="P257" s="1">
        <v>70</v>
      </c>
      <c r="Q257" s="1" t="str">
        <f t="shared" si="36"/>
        <v>1-1</v>
      </c>
      <c r="R257" s="1" t="str">
        <f t="shared" si="36"/>
        <v>1-3</v>
      </c>
      <c r="S257" s="1" t="str">
        <f t="shared" si="36"/>
        <v>6-18</v>
      </c>
      <c r="T257" s="1">
        <f t="shared" si="38"/>
        <v>12</v>
      </c>
    </row>
    <row r="258" spans="1:20">
      <c r="A258" s="1" t="s">
        <v>733</v>
      </c>
      <c r="B258" s="1" t="s">
        <v>508</v>
      </c>
      <c r="C258" s="1" t="s">
        <v>39</v>
      </c>
      <c r="D258" s="1" t="s">
        <v>218</v>
      </c>
      <c r="E258" s="1">
        <v>1</v>
      </c>
      <c r="F258" s="1">
        <v>1</v>
      </c>
      <c r="G258" s="1">
        <v>0</v>
      </c>
      <c r="H258" s="1">
        <v>0.5</v>
      </c>
      <c r="M258" s="1" t="s">
        <v>547</v>
      </c>
      <c r="N258" s="1">
        <v>19</v>
      </c>
      <c r="O258" s="1">
        <v>21</v>
      </c>
      <c r="P258" s="1">
        <v>70</v>
      </c>
      <c r="Q258" s="1" t="str">
        <f t="shared" si="36"/>
        <v>1-1</v>
      </c>
      <c r="R258" s="1" t="str">
        <f t="shared" si="36"/>
        <v>1-3</v>
      </c>
      <c r="S258" s="1" t="str">
        <f t="shared" si="36"/>
        <v>6-18</v>
      </c>
      <c r="T258" s="1">
        <f t="shared" si="38"/>
        <v>12</v>
      </c>
    </row>
    <row r="259" spans="1:20">
      <c r="A259" s="1" t="s">
        <v>734</v>
      </c>
      <c r="B259" s="1" t="s">
        <v>509</v>
      </c>
      <c r="C259" s="1" t="s">
        <v>39</v>
      </c>
      <c r="D259" s="1" t="s">
        <v>219</v>
      </c>
      <c r="E259" s="1">
        <v>1</v>
      </c>
      <c r="F259" s="1">
        <v>1</v>
      </c>
      <c r="G259" s="1">
        <v>0</v>
      </c>
      <c r="H259" s="1">
        <v>0.5</v>
      </c>
      <c r="M259" s="1" t="s">
        <v>547</v>
      </c>
      <c r="N259" s="1">
        <v>25</v>
      </c>
      <c r="O259" s="1">
        <v>28</v>
      </c>
      <c r="P259" s="1">
        <v>70</v>
      </c>
      <c r="Q259" s="1" t="str">
        <f t="shared" si="36"/>
        <v>1-1</v>
      </c>
      <c r="R259" s="1" t="str">
        <f t="shared" si="36"/>
        <v>1-3</v>
      </c>
      <c r="S259" s="1" t="str">
        <f t="shared" si="36"/>
        <v>6-18</v>
      </c>
      <c r="T259" s="1">
        <f t="shared" si="38"/>
        <v>12</v>
      </c>
    </row>
    <row r="260" spans="1:20">
      <c r="A260" s="1" t="s">
        <v>735</v>
      </c>
      <c r="B260" s="1" t="s">
        <v>510</v>
      </c>
      <c r="C260" s="1" t="s">
        <v>39</v>
      </c>
      <c r="D260" s="1" t="s">
        <v>220</v>
      </c>
      <c r="E260" s="1">
        <v>1</v>
      </c>
      <c r="F260" s="1">
        <v>1</v>
      </c>
      <c r="G260" s="1">
        <v>0</v>
      </c>
      <c r="H260" s="1">
        <v>0.5</v>
      </c>
      <c r="M260" s="1" t="s">
        <v>547</v>
      </c>
      <c r="N260" s="1">
        <v>31</v>
      </c>
      <c r="O260" s="1">
        <v>35</v>
      </c>
      <c r="P260" s="1">
        <v>70</v>
      </c>
      <c r="Q260" s="1" t="str">
        <f t="shared" si="36"/>
        <v>1-1</v>
      </c>
      <c r="R260" s="1" t="str">
        <f t="shared" si="36"/>
        <v>1-3</v>
      </c>
      <c r="S260" s="1" t="str">
        <f t="shared" si="36"/>
        <v>6-18</v>
      </c>
      <c r="T260" s="1">
        <f t="shared" si="38"/>
        <v>12</v>
      </c>
    </row>
    <row r="261" spans="1:20">
      <c r="A261" s="1" t="s">
        <v>736</v>
      </c>
      <c r="B261" s="1" t="s">
        <v>511</v>
      </c>
      <c r="C261" s="1" t="s">
        <v>39</v>
      </c>
      <c r="D261" s="1" t="s">
        <v>221</v>
      </c>
      <c r="E261" s="1">
        <v>1</v>
      </c>
      <c r="F261" s="1">
        <v>1</v>
      </c>
      <c r="G261" s="1">
        <v>0</v>
      </c>
      <c r="H261" s="1">
        <v>0.5</v>
      </c>
      <c r="M261" s="1" t="s">
        <v>547</v>
      </c>
      <c r="N261" s="1">
        <v>1</v>
      </c>
      <c r="O261" s="1">
        <v>1</v>
      </c>
      <c r="P261" s="1">
        <v>70</v>
      </c>
      <c r="Q261" s="1" t="str">
        <f t="shared" si="36"/>
        <v>1-1</v>
      </c>
      <c r="R261" s="1" t="str">
        <f t="shared" si="36"/>
        <v>1-3</v>
      </c>
      <c r="S261" s="1" t="str">
        <f t="shared" si="36"/>
        <v>6-18</v>
      </c>
      <c r="T261" s="1">
        <f t="shared" si="38"/>
        <v>12</v>
      </c>
    </row>
    <row r="262" spans="1:20">
      <c r="A262" s="1" t="s">
        <v>737</v>
      </c>
      <c r="B262" s="1" t="s">
        <v>512</v>
      </c>
      <c r="C262" s="1" t="s">
        <v>39</v>
      </c>
      <c r="D262" s="1" t="s">
        <v>222</v>
      </c>
      <c r="E262" s="1">
        <v>1</v>
      </c>
      <c r="F262" s="1">
        <v>1</v>
      </c>
      <c r="G262" s="1">
        <v>0</v>
      </c>
      <c r="H262" s="1">
        <v>0.5</v>
      </c>
      <c r="M262" s="1" t="s">
        <v>581</v>
      </c>
      <c r="N262" s="1">
        <v>6</v>
      </c>
      <c r="O262" s="1">
        <v>7</v>
      </c>
      <c r="P262" s="1">
        <v>70</v>
      </c>
      <c r="Q262" s="1" t="str">
        <f t="shared" si="36"/>
        <v>1-1</v>
      </c>
      <c r="R262" s="1" t="str">
        <f t="shared" si="36"/>
        <v>1-3</v>
      </c>
      <c r="S262" s="1" t="str">
        <f t="shared" si="36"/>
        <v>6-18</v>
      </c>
      <c r="T262" s="1">
        <f t="shared" si="38"/>
        <v>12</v>
      </c>
    </row>
    <row r="263" spans="1:20">
      <c r="A263" s="1" t="s">
        <v>738</v>
      </c>
      <c r="B263" s="1" t="s">
        <v>517</v>
      </c>
      <c r="C263" s="1" t="s">
        <v>39</v>
      </c>
      <c r="D263" s="1" t="s">
        <v>223</v>
      </c>
      <c r="E263" s="1">
        <v>1</v>
      </c>
      <c r="F263" s="1">
        <v>1</v>
      </c>
      <c r="G263" s="1">
        <v>0</v>
      </c>
      <c r="H263" s="1">
        <v>0.5</v>
      </c>
      <c r="M263" s="1" t="s">
        <v>547</v>
      </c>
      <c r="N263" s="1">
        <v>12</v>
      </c>
      <c r="O263" s="1">
        <v>14</v>
      </c>
      <c r="P263" s="1">
        <v>70</v>
      </c>
      <c r="Q263" s="1" t="str">
        <f t="shared" si="36"/>
        <v>1-1</v>
      </c>
      <c r="R263" s="1" t="str">
        <f t="shared" si="36"/>
        <v>1-3</v>
      </c>
      <c r="S263" s="1" t="str">
        <f t="shared" si="36"/>
        <v>6-18</v>
      </c>
      <c r="T263" s="1">
        <f t="shared" si="38"/>
        <v>12</v>
      </c>
    </row>
    <row r="264" spans="1:20">
      <c r="A264" s="1" t="s">
        <v>739</v>
      </c>
      <c r="B264" s="1" t="s">
        <v>513</v>
      </c>
      <c r="C264" s="1" t="s">
        <v>39</v>
      </c>
      <c r="D264" s="1" t="s">
        <v>224</v>
      </c>
      <c r="E264" s="1">
        <v>1</v>
      </c>
      <c r="F264" s="1">
        <v>1</v>
      </c>
      <c r="G264" s="1">
        <v>0</v>
      </c>
      <c r="H264" s="1">
        <v>0.5</v>
      </c>
      <c r="M264" s="1" t="s">
        <v>547</v>
      </c>
      <c r="N264" s="1">
        <v>19</v>
      </c>
      <c r="O264" s="1">
        <v>21</v>
      </c>
      <c r="P264" s="1">
        <v>70</v>
      </c>
      <c r="Q264" s="1" t="str">
        <f t="shared" si="36"/>
        <v>1-1</v>
      </c>
      <c r="R264" s="1" t="str">
        <f t="shared" si="36"/>
        <v>1-3</v>
      </c>
      <c r="S264" s="1" t="str">
        <f t="shared" si="36"/>
        <v>6-18</v>
      </c>
      <c r="T264" s="1">
        <f t="shared" si="38"/>
        <v>12</v>
      </c>
    </row>
    <row r="265" spans="1:20">
      <c r="A265" s="1" t="s">
        <v>740</v>
      </c>
      <c r="B265" s="1" t="s">
        <v>514</v>
      </c>
      <c r="C265" s="1" t="s">
        <v>39</v>
      </c>
      <c r="D265" s="1" t="s">
        <v>225</v>
      </c>
      <c r="E265" s="1">
        <v>1</v>
      </c>
      <c r="F265" s="1">
        <v>1</v>
      </c>
      <c r="G265" s="1">
        <v>0</v>
      </c>
      <c r="H265" s="1">
        <v>0.5</v>
      </c>
      <c r="M265" s="1" t="s">
        <v>547</v>
      </c>
      <c r="N265" s="1">
        <v>25</v>
      </c>
      <c r="O265" s="1">
        <v>28</v>
      </c>
      <c r="P265" s="1">
        <v>70</v>
      </c>
      <c r="Q265" s="1" t="str">
        <f t="shared" si="36"/>
        <v>1-1</v>
      </c>
      <c r="R265" s="1" t="str">
        <f t="shared" si="36"/>
        <v>1-3</v>
      </c>
      <c r="S265" s="1" t="str">
        <f t="shared" si="36"/>
        <v>6-18</v>
      </c>
      <c r="T265" s="1">
        <f t="shared" si="38"/>
        <v>12</v>
      </c>
    </row>
    <row r="266" spans="1:20">
      <c r="A266" s="1" t="s">
        <v>741</v>
      </c>
      <c r="B266" s="1" t="s">
        <v>515</v>
      </c>
      <c r="C266" s="1" t="s">
        <v>39</v>
      </c>
      <c r="D266" s="1" t="s">
        <v>226</v>
      </c>
      <c r="E266" s="1">
        <v>1</v>
      </c>
      <c r="F266" s="1">
        <v>1</v>
      </c>
      <c r="G266" s="1">
        <v>0</v>
      </c>
      <c r="H266" s="1">
        <v>0.5</v>
      </c>
      <c r="M266" s="1" t="s">
        <v>547</v>
      </c>
      <c r="N266" s="1">
        <v>31</v>
      </c>
      <c r="O266" s="1">
        <v>35</v>
      </c>
      <c r="P266" s="1">
        <v>70</v>
      </c>
      <c r="Q266" s="1" t="str">
        <f t="shared" ref="Q266:S278" si="39">_xlfn.LET(_xlpm.a,($E266+Q$3*$G266)*(1+Q$2),_xlpm.b,($F266+Q$3*$H266)*(1+Q$2),_xlpm.a&amp;"-"&amp;_xlpm.b)</f>
        <v>1-1</v>
      </c>
      <c r="R266" s="1" t="str">
        <f t="shared" si="39"/>
        <v>1-3</v>
      </c>
      <c r="S266" s="1" t="str">
        <f t="shared" si="39"/>
        <v>6-18</v>
      </c>
      <c r="T266" s="1">
        <f t="shared" si="38"/>
        <v>12</v>
      </c>
    </row>
    <row r="267" spans="1:20">
      <c r="A267" s="1" t="s">
        <v>742</v>
      </c>
      <c r="B267" s="1" t="s">
        <v>516</v>
      </c>
      <c r="C267" s="1" t="s">
        <v>39</v>
      </c>
      <c r="D267" s="1" t="s">
        <v>227</v>
      </c>
      <c r="E267" s="1">
        <v>1</v>
      </c>
      <c r="F267" s="1">
        <v>1</v>
      </c>
      <c r="G267" s="1">
        <v>0</v>
      </c>
      <c r="H267" s="1">
        <v>0.5</v>
      </c>
      <c r="M267" s="1" t="s">
        <v>547</v>
      </c>
      <c r="N267" s="1">
        <v>1</v>
      </c>
      <c r="O267" s="1">
        <v>1</v>
      </c>
      <c r="P267" s="1">
        <v>70</v>
      </c>
      <c r="Q267" s="1" t="str">
        <f t="shared" si="39"/>
        <v>1-1</v>
      </c>
      <c r="R267" s="1" t="str">
        <f t="shared" si="39"/>
        <v>1-3</v>
      </c>
      <c r="S267" s="1" t="str">
        <f t="shared" si="39"/>
        <v>6-18</v>
      </c>
      <c r="T267" s="1">
        <f t="shared" si="38"/>
        <v>12</v>
      </c>
    </row>
    <row r="268" spans="1:20">
      <c r="A268" s="1" t="s">
        <v>743</v>
      </c>
      <c r="B268" s="1" t="s">
        <v>518</v>
      </c>
      <c r="C268" s="1" t="s">
        <v>39</v>
      </c>
      <c r="D268" s="1" t="s">
        <v>228</v>
      </c>
      <c r="E268" s="1">
        <v>1</v>
      </c>
      <c r="F268" s="1">
        <v>1</v>
      </c>
      <c r="G268" s="1">
        <v>0</v>
      </c>
      <c r="H268" s="1">
        <v>0.5</v>
      </c>
      <c r="M268" s="1" t="s">
        <v>581</v>
      </c>
      <c r="N268" s="1">
        <v>6</v>
      </c>
      <c r="O268" s="1">
        <v>7</v>
      </c>
      <c r="P268" s="1">
        <v>70</v>
      </c>
      <c r="Q268" s="1" t="str">
        <f t="shared" si="39"/>
        <v>1-1</v>
      </c>
      <c r="R268" s="1" t="str">
        <f t="shared" si="39"/>
        <v>1-3</v>
      </c>
      <c r="S268" s="1" t="str">
        <f t="shared" si="39"/>
        <v>6-18</v>
      </c>
      <c r="T268" s="1">
        <f t="shared" si="38"/>
        <v>12</v>
      </c>
    </row>
    <row r="269" spans="1:20">
      <c r="A269" s="1" t="s">
        <v>744</v>
      </c>
      <c r="B269" s="1" t="s">
        <v>521</v>
      </c>
      <c r="C269" s="1" t="s">
        <v>39</v>
      </c>
      <c r="D269" s="1" t="s">
        <v>229</v>
      </c>
      <c r="E269" s="1">
        <v>1</v>
      </c>
      <c r="F269" s="1">
        <v>1</v>
      </c>
      <c r="G269" s="1">
        <v>0</v>
      </c>
      <c r="H269" s="1">
        <v>0.5</v>
      </c>
      <c r="M269" s="1" t="s">
        <v>547</v>
      </c>
      <c r="N269" s="1">
        <v>12</v>
      </c>
      <c r="O269" s="1">
        <v>14</v>
      </c>
      <c r="P269" s="1">
        <v>70</v>
      </c>
      <c r="Q269" s="1" t="str">
        <f t="shared" si="39"/>
        <v>1-1</v>
      </c>
      <c r="R269" s="1" t="str">
        <f t="shared" si="39"/>
        <v>1-3</v>
      </c>
      <c r="S269" s="1" t="str">
        <f t="shared" si="39"/>
        <v>6-18</v>
      </c>
      <c r="T269" s="1">
        <f t="shared" si="38"/>
        <v>12</v>
      </c>
    </row>
    <row r="270" spans="1:20">
      <c r="A270" s="1" t="s">
        <v>745</v>
      </c>
      <c r="B270" s="1" t="s">
        <v>519</v>
      </c>
      <c r="C270" s="1" t="s">
        <v>39</v>
      </c>
      <c r="D270" s="1" t="s">
        <v>230</v>
      </c>
      <c r="E270" s="1">
        <v>1</v>
      </c>
      <c r="F270" s="1">
        <v>1</v>
      </c>
      <c r="G270" s="1">
        <v>0</v>
      </c>
      <c r="H270" s="1">
        <v>0.5</v>
      </c>
      <c r="M270" s="1" t="s">
        <v>547</v>
      </c>
      <c r="N270" s="1">
        <v>19</v>
      </c>
      <c r="O270" s="1">
        <v>21</v>
      </c>
      <c r="P270" s="1">
        <v>70</v>
      </c>
      <c r="Q270" s="1" t="str">
        <f t="shared" si="39"/>
        <v>1-1</v>
      </c>
      <c r="R270" s="1" t="str">
        <f t="shared" si="39"/>
        <v>1-3</v>
      </c>
      <c r="S270" s="1" t="str">
        <f t="shared" si="39"/>
        <v>6-18</v>
      </c>
      <c r="T270" s="1">
        <f t="shared" si="38"/>
        <v>12</v>
      </c>
    </row>
    <row r="271" spans="1:20">
      <c r="A271" s="1" t="s">
        <v>746</v>
      </c>
      <c r="B271" s="1" t="s">
        <v>520</v>
      </c>
      <c r="C271" s="1" t="s">
        <v>39</v>
      </c>
      <c r="D271" s="1" t="s">
        <v>239</v>
      </c>
      <c r="E271" s="1">
        <v>1</v>
      </c>
      <c r="F271" s="1">
        <v>1</v>
      </c>
      <c r="G271" s="1">
        <v>0</v>
      </c>
      <c r="H271" s="1">
        <v>0.5</v>
      </c>
      <c r="M271" s="1" t="s">
        <v>547</v>
      </c>
      <c r="N271" s="1">
        <v>25</v>
      </c>
      <c r="O271" s="1">
        <v>28</v>
      </c>
      <c r="P271" s="1">
        <v>70</v>
      </c>
      <c r="Q271" s="1" t="str">
        <f t="shared" si="39"/>
        <v>1-1</v>
      </c>
      <c r="R271" s="1" t="str">
        <f t="shared" si="39"/>
        <v>1-3</v>
      </c>
      <c r="S271" s="1" t="str">
        <f t="shared" si="39"/>
        <v>6-18</v>
      </c>
      <c r="T271" s="1">
        <f t="shared" si="38"/>
        <v>12</v>
      </c>
    </row>
    <row r="272" spans="1:20">
      <c r="A272" s="1" t="s">
        <v>747</v>
      </c>
      <c r="B272" s="1" t="s">
        <v>522</v>
      </c>
      <c r="C272" s="1" t="s">
        <v>39</v>
      </c>
      <c r="D272" s="1" t="s">
        <v>240</v>
      </c>
      <c r="E272" s="1">
        <v>1</v>
      </c>
      <c r="F272" s="1">
        <v>1</v>
      </c>
      <c r="G272" s="1">
        <v>0</v>
      </c>
      <c r="H272" s="1">
        <v>0.5</v>
      </c>
      <c r="M272" s="1" t="s">
        <v>547</v>
      </c>
      <c r="N272" s="1">
        <v>31</v>
      </c>
      <c r="O272" s="1">
        <v>35</v>
      </c>
      <c r="P272" s="1">
        <v>70</v>
      </c>
      <c r="Q272" s="1" t="str">
        <f t="shared" si="39"/>
        <v>1-1</v>
      </c>
      <c r="R272" s="1" t="str">
        <f t="shared" si="39"/>
        <v>1-3</v>
      </c>
      <c r="S272" s="1" t="str">
        <f t="shared" si="39"/>
        <v>6-18</v>
      </c>
      <c r="T272" s="1">
        <f t="shared" si="38"/>
        <v>12</v>
      </c>
    </row>
    <row r="273" spans="1:20">
      <c r="A273" s="1" t="s">
        <v>748</v>
      </c>
      <c r="B273" s="1" t="s">
        <v>523</v>
      </c>
      <c r="C273" s="1" t="s">
        <v>39</v>
      </c>
      <c r="D273" s="1" t="s">
        <v>241</v>
      </c>
      <c r="E273" s="1">
        <v>1</v>
      </c>
      <c r="F273" s="1">
        <v>1</v>
      </c>
      <c r="G273" s="1">
        <v>0</v>
      </c>
      <c r="H273" s="1">
        <v>0.5</v>
      </c>
      <c r="M273" s="1" t="s">
        <v>547</v>
      </c>
      <c r="N273" s="1">
        <v>1</v>
      </c>
      <c r="O273" s="1">
        <v>1</v>
      </c>
      <c r="P273" s="1">
        <v>70</v>
      </c>
      <c r="Q273" s="1" t="str">
        <f t="shared" si="39"/>
        <v>1-1</v>
      </c>
      <c r="R273" s="1" t="str">
        <f t="shared" si="39"/>
        <v>1-3</v>
      </c>
      <c r="S273" s="1" t="str">
        <f t="shared" si="39"/>
        <v>6-18</v>
      </c>
      <c r="T273" s="1">
        <f t="shared" si="38"/>
        <v>12</v>
      </c>
    </row>
    <row r="274" spans="1:20">
      <c r="A274" s="1" t="s">
        <v>749</v>
      </c>
      <c r="B274" s="1" t="s">
        <v>524</v>
      </c>
      <c r="C274" s="1" t="s">
        <v>39</v>
      </c>
      <c r="D274" s="1" t="s">
        <v>242</v>
      </c>
      <c r="E274" s="1">
        <v>1</v>
      </c>
      <c r="F274" s="1">
        <v>1</v>
      </c>
      <c r="G274" s="1">
        <v>0</v>
      </c>
      <c r="H274" s="1">
        <v>0.5</v>
      </c>
      <c r="M274" s="1" t="s">
        <v>581</v>
      </c>
      <c r="N274" s="1">
        <v>6</v>
      </c>
      <c r="O274" s="1">
        <v>7</v>
      </c>
      <c r="P274" s="1">
        <v>70</v>
      </c>
      <c r="Q274" s="1" t="str">
        <f t="shared" si="39"/>
        <v>1-1</v>
      </c>
      <c r="R274" s="1" t="str">
        <f t="shared" si="39"/>
        <v>1-3</v>
      </c>
      <c r="S274" s="1" t="str">
        <f t="shared" si="39"/>
        <v>6-18</v>
      </c>
      <c r="T274" s="1">
        <f t="shared" si="38"/>
        <v>12</v>
      </c>
    </row>
    <row r="275" spans="1:20">
      <c r="A275" s="1" t="s">
        <v>750</v>
      </c>
      <c r="B275" s="1" t="s">
        <v>525</v>
      </c>
      <c r="C275" s="1" t="s">
        <v>39</v>
      </c>
      <c r="D275" s="1" t="s">
        <v>243</v>
      </c>
      <c r="E275" s="1">
        <v>1</v>
      </c>
      <c r="F275" s="1">
        <v>1</v>
      </c>
      <c r="G275" s="1">
        <v>0</v>
      </c>
      <c r="H275" s="1">
        <v>0.5</v>
      </c>
      <c r="M275" s="1" t="s">
        <v>547</v>
      </c>
      <c r="N275" s="1">
        <v>12</v>
      </c>
      <c r="O275" s="1">
        <v>14</v>
      </c>
      <c r="P275" s="1">
        <v>70</v>
      </c>
      <c r="Q275" s="1" t="str">
        <f t="shared" si="39"/>
        <v>1-1</v>
      </c>
      <c r="R275" s="1" t="str">
        <f t="shared" si="39"/>
        <v>1-3</v>
      </c>
      <c r="S275" s="1" t="str">
        <f t="shared" si="39"/>
        <v>6-18</v>
      </c>
      <c r="T275" s="1">
        <f t="shared" si="38"/>
        <v>12</v>
      </c>
    </row>
    <row r="276" spans="1:20">
      <c r="A276" s="1" t="s">
        <v>751</v>
      </c>
      <c r="B276" s="1" t="s">
        <v>526</v>
      </c>
      <c r="C276" s="1" t="s">
        <v>39</v>
      </c>
      <c r="D276" s="1" t="s">
        <v>244</v>
      </c>
      <c r="E276" s="1">
        <v>1</v>
      </c>
      <c r="F276" s="1">
        <v>1</v>
      </c>
      <c r="G276" s="1">
        <v>0</v>
      </c>
      <c r="H276" s="1">
        <v>0.5</v>
      </c>
      <c r="M276" s="1" t="s">
        <v>547</v>
      </c>
      <c r="N276" s="1">
        <v>19</v>
      </c>
      <c r="O276" s="1">
        <v>21</v>
      </c>
      <c r="P276" s="1">
        <v>70</v>
      </c>
      <c r="Q276" s="1" t="str">
        <f t="shared" si="39"/>
        <v>1-1</v>
      </c>
      <c r="R276" s="1" t="str">
        <f t="shared" si="39"/>
        <v>1-3</v>
      </c>
      <c r="S276" s="1" t="str">
        <f t="shared" si="39"/>
        <v>6-18</v>
      </c>
      <c r="T276" s="1">
        <f t="shared" si="38"/>
        <v>12</v>
      </c>
    </row>
    <row r="277" spans="1:20">
      <c r="A277" s="1" t="s">
        <v>752</v>
      </c>
      <c r="B277" s="1" t="s">
        <v>527</v>
      </c>
      <c r="C277" s="1" t="s">
        <v>39</v>
      </c>
      <c r="D277" s="1" t="s">
        <v>245</v>
      </c>
      <c r="E277" s="1">
        <v>1</v>
      </c>
      <c r="F277" s="1">
        <v>1</v>
      </c>
      <c r="G277" s="1">
        <v>0</v>
      </c>
      <c r="H277" s="1">
        <v>0.5</v>
      </c>
      <c r="M277" s="1" t="s">
        <v>547</v>
      </c>
      <c r="N277" s="1">
        <v>25</v>
      </c>
      <c r="O277" s="1">
        <v>28</v>
      </c>
      <c r="P277" s="1">
        <v>70</v>
      </c>
      <c r="Q277" s="1" t="str">
        <f t="shared" si="39"/>
        <v>1-1</v>
      </c>
      <c r="R277" s="1" t="str">
        <f t="shared" si="39"/>
        <v>1-3</v>
      </c>
      <c r="S277" s="1" t="str">
        <f t="shared" si="39"/>
        <v>6-18</v>
      </c>
      <c r="T277" s="1">
        <f t="shared" si="38"/>
        <v>12</v>
      </c>
    </row>
    <row r="278" spans="1:20">
      <c r="A278" s="1" t="s">
        <v>753</v>
      </c>
      <c r="B278" s="1" t="s">
        <v>528</v>
      </c>
      <c r="C278" s="1" t="s">
        <v>39</v>
      </c>
      <c r="D278" s="1" t="s">
        <v>246</v>
      </c>
      <c r="E278" s="1">
        <v>1</v>
      </c>
      <c r="F278" s="1">
        <v>1</v>
      </c>
      <c r="G278" s="1">
        <v>0</v>
      </c>
      <c r="H278" s="1">
        <v>0.5</v>
      </c>
      <c r="M278" s="1" t="s">
        <v>547</v>
      </c>
      <c r="N278" s="1">
        <v>31</v>
      </c>
      <c r="O278" s="1">
        <v>35</v>
      </c>
      <c r="P278" s="1">
        <v>70</v>
      </c>
      <c r="Q278" s="1" t="str">
        <f t="shared" si="39"/>
        <v>1-1</v>
      </c>
      <c r="R278" s="1" t="str">
        <f t="shared" si="39"/>
        <v>1-3</v>
      </c>
      <c r="S278" s="1" t="str">
        <f t="shared" si="39"/>
        <v>6-18</v>
      </c>
      <c r="T278" s="1">
        <f t="shared" si="38"/>
        <v>12</v>
      </c>
    </row>
    <row r="279" spans="1:20">
      <c r="A279" s="1" t="s">
        <v>104</v>
      </c>
      <c r="B279" s="1" t="s">
        <v>529</v>
      </c>
      <c r="C279" s="1" t="s">
        <v>39</v>
      </c>
      <c r="D279" s="1" t="s">
        <v>392</v>
      </c>
      <c r="E279" s="1">
        <v>1</v>
      </c>
      <c r="F279" s="1">
        <v>1</v>
      </c>
      <c r="G279" s="1">
        <v>0</v>
      </c>
      <c r="H279" s="1">
        <v>2</v>
      </c>
      <c r="K279" s="1" t="s">
        <v>117</v>
      </c>
      <c r="L279" s="1" t="s">
        <v>552</v>
      </c>
      <c r="M279" s="1" t="s">
        <v>581</v>
      </c>
      <c r="N279" s="1">
        <v>6</v>
      </c>
      <c r="O279" s="1">
        <v>7</v>
      </c>
      <c r="P279" s="1">
        <v>100</v>
      </c>
      <c r="Q279" s="1" t="str">
        <f t="shared" si="36"/>
        <v>1-1</v>
      </c>
      <c r="R279" s="1" t="str">
        <f t="shared" si="36"/>
        <v>1-9</v>
      </c>
      <c r="S279" s="1" t="str">
        <f t="shared" si="36"/>
        <v>6-54</v>
      </c>
      <c r="T279" s="1">
        <f t="shared" ref="T279" si="40">_xlfn.LET(_xlpm.a,($E279+S$3*$G279)*(1+S$2),_xlpm.b,($F279+S$3*$H279)*(1+S$2),_xlpm.a/2+_xlpm.b/2)</f>
        <v>30</v>
      </c>
    </row>
    <row r="280" spans="1:20">
      <c r="A280" s="1" t="s">
        <v>105</v>
      </c>
      <c r="B280" s="1" t="s">
        <v>530</v>
      </c>
      <c r="C280" s="1" t="s">
        <v>39</v>
      </c>
      <c r="D280" s="1" t="s">
        <v>392</v>
      </c>
      <c r="E280" s="1">
        <v>1</v>
      </c>
      <c r="F280" s="1">
        <v>1</v>
      </c>
      <c r="G280" s="1">
        <v>0</v>
      </c>
      <c r="H280" s="1">
        <v>2</v>
      </c>
      <c r="K280" s="1" t="s">
        <v>118</v>
      </c>
      <c r="L280" s="1" t="s">
        <v>552</v>
      </c>
      <c r="M280" s="1" t="s">
        <v>581</v>
      </c>
      <c r="N280" s="1">
        <v>25</v>
      </c>
      <c r="O280" s="1">
        <v>28</v>
      </c>
      <c r="P280" s="1">
        <v>100</v>
      </c>
      <c r="Q280" s="1" t="str">
        <f t="shared" si="36"/>
        <v>1-1</v>
      </c>
      <c r="R280" s="1" t="str">
        <f t="shared" si="36"/>
        <v>1-9</v>
      </c>
      <c r="S280" s="1" t="str">
        <f t="shared" si="36"/>
        <v>6-54</v>
      </c>
      <c r="T280" s="1">
        <f t="shared" ref="T280:T287" si="41">_xlfn.LET(_xlpm.a,($E280+S$3*$G280)*(1+S$2),_xlpm.b,($F280+S$3*$H280)*(1+S$2),_xlpm.a/2+_xlpm.b/2)</f>
        <v>30</v>
      </c>
    </row>
    <row r="281" spans="1:20">
      <c r="A281" s="1" t="s">
        <v>106</v>
      </c>
      <c r="B281" s="1" t="s">
        <v>531</v>
      </c>
      <c r="C281" s="1" t="s">
        <v>39</v>
      </c>
      <c r="D281" s="1" t="s">
        <v>392</v>
      </c>
      <c r="E281" s="1">
        <v>1</v>
      </c>
      <c r="F281" s="1">
        <v>1</v>
      </c>
      <c r="G281" s="1">
        <v>0</v>
      </c>
      <c r="H281" s="1">
        <v>2</v>
      </c>
      <c r="K281" s="1" t="s">
        <v>119</v>
      </c>
      <c r="L281" s="1" t="s">
        <v>552</v>
      </c>
      <c r="M281" s="1" t="s">
        <v>581</v>
      </c>
      <c r="N281" s="1">
        <v>12</v>
      </c>
      <c r="O281" s="1">
        <v>14</v>
      </c>
      <c r="P281" s="1">
        <v>100</v>
      </c>
      <c r="Q281" s="1" t="str">
        <f t="shared" ref="Q281:S301" si="42">_xlfn.LET(_xlpm.a,($E281+Q$3*$G281)*(1+Q$2),_xlpm.b,($F281+Q$3*$H281)*(1+Q$2),_xlpm.a&amp;"-"&amp;_xlpm.b)</f>
        <v>1-1</v>
      </c>
      <c r="R281" s="1" t="str">
        <f t="shared" si="42"/>
        <v>1-9</v>
      </c>
      <c r="S281" s="1" t="str">
        <f t="shared" si="42"/>
        <v>6-54</v>
      </c>
      <c r="T281" s="1">
        <f t="shared" si="41"/>
        <v>30</v>
      </c>
    </row>
    <row r="282" spans="1:20">
      <c r="A282" s="1" t="s">
        <v>109</v>
      </c>
      <c r="B282" s="1" t="s">
        <v>532</v>
      </c>
      <c r="C282" s="1" t="s">
        <v>39</v>
      </c>
      <c r="D282" s="1" t="s">
        <v>392</v>
      </c>
      <c r="E282" s="1">
        <v>1</v>
      </c>
      <c r="F282" s="1">
        <v>1</v>
      </c>
      <c r="G282" s="1">
        <v>0</v>
      </c>
      <c r="H282" s="1">
        <v>2</v>
      </c>
      <c r="K282" s="1" t="s">
        <v>120</v>
      </c>
      <c r="L282" s="1" t="s">
        <v>552</v>
      </c>
      <c r="M282" s="1" t="s">
        <v>581</v>
      </c>
      <c r="N282" s="1">
        <v>31</v>
      </c>
      <c r="O282" s="1">
        <v>35</v>
      </c>
      <c r="P282" s="1">
        <v>100</v>
      </c>
      <c r="Q282" s="1" t="str">
        <f t="shared" si="42"/>
        <v>1-1</v>
      </c>
      <c r="R282" s="1" t="str">
        <f t="shared" si="42"/>
        <v>1-9</v>
      </c>
      <c r="S282" s="1" t="str">
        <f t="shared" si="42"/>
        <v>6-54</v>
      </c>
      <c r="T282" s="1">
        <f t="shared" si="41"/>
        <v>30</v>
      </c>
    </row>
    <row r="283" spans="1:20">
      <c r="A283" s="1" t="s">
        <v>110</v>
      </c>
      <c r="B283" s="1" t="s">
        <v>533</v>
      </c>
      <c r="C283" s="1" t="s">
        <v>39</v>
      </c>
      <c r="D283" s="1" t="s">
        <v>393</v>
      </c>
      <c r="E283" s="1">
        <v>1</v>
      </c>
      <c r="F283" s="1">
        <v>1</v>
      </c>
      <c r="G283" s="1">
        <v>0</v>
      </c>
      <c r="H283" s="1">
        <v>2</v>
      </c>
      <c r="K283" s="1" t="s">
        <v>121</v>
      </c>
      <c r="L283" s="1" t="s">
        <v>552</v>
      </c>
      <c r="M283" s="1" t="s">
        <v>548</v>
      </c>
      <c r="N283" s="1">
        <v>12</v>
      </c>
      <c r="O283" s="1">
        <v>14</v>
      </c>
      <c r="P283" s="1">
        <v>100</v>
      </c>
      <c r="Q283" s="1" t="str">
        <f t="shared" si="42"/>
        <v>1-1</v>
      </c>
      <c r="R283" s="1" t="str">
        <f t="shared" si="42"/>
        <v>1-9</v>
      </c>
      <c r="S283" s="1" t="str">
        <f t="shared" si="42"/>
        <v>6-54</v>
      </c>
      <c r="T283" s="1">
        <f t="shared" si="41"/>
        <v>30</v>
      </c>
    </row>
    <row r="284" spans="1:20">
      <c r="A284" s="1" t="s">
        <v>107</v>
      </c>
      <c r="B284" s="1" t="s">
        <v>534</v>
      </c>
      <c r="C284" s="1" t="s">
        <v>39</v>
      </c>
      <c r="D284" s="1" t="s">
        <v>393</v>
      </c>
      <c r="E284" s="1">
        <v>1</v>
      </c>
      <c r="F284" s="1">
        <v>1</v>
      </c>
      <c r="G284" s="1">
        <v>0</v>
      </c>
      <c r="H284" s="1">
        <v>2</v>
      </c>
      <c r="K284" s="1" t="s">
        <v>122</v>
      </c>
      <c r="L284" s="1" t="s">
        <v>552</v>
      </c>
      <c r="M284" s="1" t="s">
        <v>548</v>
      </c>
      <c r="N284" s="1">
        <v>25</v>
      </c>
      <c r="O284" s="1">
        <v>28</v>
      </c>
      <c r="P284" s="1">
        <v>100</v>
      </c>
      <c r="Q284" s="1" t="str">
        <f t="shared" si="42"/>
        <v>1-1</v>
      </c>
      <c r="R284" s="1" t="str">
        <f t="shared" si="42"/>
        <v>1-9</v>
      </c>
      <c r="S284" s="1" t="str">
        <f t="shared" si="42"/>
        <v>6-54</v>
      </c>
      <c r="T284" s="1">
        <f t="shared" si="41"/>
        <v>30</v>
      </c>
    </row>
    <row r="285" spans="1:20">
      <c r="A285" s="1" t="s">
        <v>108</v>
      </c>
      <c r="B285" s="1" t="s">
        <v>535</v>
      </c>
      <c r="C285" s="1" t="s">
        <v>39</v>
      </c>
      <c r="D285" s="1" t="s">
        <v>393</v>
      </c>
      <c r="E285" s="1">
        <v>1</v>
      </c>
      <c r="F285" s="1">
        <v>1</v>
      </c>
      <c r="G285" s="1">
        <v>0</v>
      </c>
      <c r="H285" s="1">
        <v>2</v>
      </c>
      <c r="K285" s="1" t="s">
        <v>123</v>
      </c>
      <c r="L285" s="1" t="s">
        <v>552</v>
      </c>
      <c r="M285" s="1" t="s">
        <v>548</v>
      </c>
      <c r="N285" s="1">
        <v>6</v>
      </c>
      <c r="O285" s="1">
        <v>7</v>
      </c>
      <c r="P285" s="1">
        <v>100</v>
      </c>
      <c r="Q285" s="1" t="str">
        <f t="shared" si="42"/>
        <v>1-1</v>
      </c>
      <c r="R285" s="1" t="str">
        <f t="shared" si="42"/>
        <v>1-9</v>
      </c>
      <c r="S285" s="1" t="str">
        <f t="shared" si="42"/>
        <v>6-54</v>
      </c>
      <c r="T285" s="1">
        <f t="shared" si="41"/>
        <v>30</v>
      </c>
    </row>
    <row r="286" spans="1:20">
      <c r="A286" s="1" t="s">
        <v>111</v>
      </c>
      <c r="B286" s="1" t="s">
        <v>536</v>
      </c>
      <c r="C286" s="1" t="s">
        <v>39</v>
      </c>
      <c r="D286" s="1" t="s">
        <v>393</v>
      </c>
      <c r="E286" s="1">
        <v>1</v>
      </c>
      <c r="F286" s="1">
        <v>1</v>
      </c>
      <c r="G286" s="1">
        <v>0</v>
      </c>
      <c r="H286" s="1">
        <v>2</v>
      </c>
      <c r="K286" s="1" t="s">
        <v>124</v>
      </c>
      <c r="L286" s="1" t="s">
        <v>552</v>
      </c>
      <c r="M286" s="1" t="s">
        <v>548</v>
      </c>
      <c r="N286" s="1">
        <v>19</v>
      </c>
      <c r="O286" s="1">
        <v>21</v>
      </c>
      <c r="P286" s="1">
        <v>100</v>
      </c>
      <c r="Q286" s="1" t="str">
        <f t="shared" si="42"/>
        <v>1-1</v>
      </c>
      <c r="R286" s="1" t="str">
        <f t="shared" si="42"/>
        <v>1-9</v>
      </c>
      <c r="S286" s="1" t="str">
        <f t="shared" si="42"/>
        <v>6-54</v>
      </c>
      <c r="T286" s="1">
        <f t="shared" si="41"/>
        <v>30</v>
      </c>
    </row>
    <row r="287" spans="1:20">
      <c r="A287" s="1" t="s">
        <v>555</v>
      </c>
      <c r="B287" s="1" t="s">
        <v>561</v>
      </c>
      <c r="C287" s="1" t="s">
        <v>39</v>
      </c>
      <c r="D287" s="1" t="s">
        <v>554</v>
      </c>
      <c r="E287" s="1">
        <v>1</v>
      </c>
      <c r="F287" s="1">
        <v>1</v>
      </c>
      <c r="G287" s="1">
        <v>0</v>
      </c>
      <c r="H287" s="1">
        <v>2</v>
      </c>
      <c r="K287" s="1" t="s">
        <v>556</v>
      </c>
      <c r="L287" s="1" t="s">
        <v>552</v>
      </c>
      <c r="M287" s="1" t="s">
        <v>569</v>
      </c>
      <c r="N287" s="1">
        <v>37</v>
      </c>
      <c r="O287" s="1">
        <v>42</v>
      </c>
      <c r="P287" s="1">
        <v>100</v>
      </c>
      <c r="Q287" s="1" t="str">
        <f t="shared" si="42"/>
        <v>1-1</v>
      </c>
      <c r="R287" s="1" t="str">
        <f t="shared" si="42"/>
        <v>1-9</v>
      </c>
      <c r="S287" s="1" t="str">
        <f t="shared" si="42"/>
        <v>6-54</v>
      </c>
      <c r="T287" s="1">
        <f t="shared" si="41"/>
        <v>30</v>
      </c>
    </row>
    <row r="288" spans="1:20">
      <c r="A288" s="1" t="s">
        <v>557</v>
      </c>
      <c r="B288" s="1" t="s">
        <v>564</v>
      </c>
      <c r="C288" s="1" t="s">
        <v>39</v>
      </c>
      <c r="D288" s="1" t="s">
        <v>554</v>
      </c>
      <c r="E288" s="1">
        <v>1</v>
      </c>
      <c r="F288" s="1">
        <v>1</v>
      </c>
      <c r="G288" s="1">
        <v>0</v>
      </c>
      <c r="H288" s="1">
        <v>2</v>
      </c>
      <c r="K288" s="1" t="s">
        <v>558</v>
      </c>
      <c r="L288" s="1" t="s">
        <v>552</v>
      </c>
      <c r="M288" s="1" t="s">
        <v>569</v>
      </c>
      <c r="N288" s="1">
        <v>25</v>
      </c>
      <c r="O288" s="1">
        <v>28</v>
      </c>
      <c r="P288" s="1">
        <v>100</v>
      </c>
      <c r="Q288" s="1" t="str">
        <f t="shared" si="42"/>
        <v>1-1</v>
      </c>
      <c r="R288" s="1" t="str">
        <f t="shared" si="42"/>
        <v>1-9</v>
      </c>
      <c r="S288" s="1" t="str">
        <f t="shared" si="42"/>
        <v>6-54</v>
      </c>
      <c r="T288" s="1">
        <f t="shared" ref="T288" si="43">_xlfn.LET(_xlpm.a,($E288+S$3*$G288)*(1+S$2),_xlpm.b,($F288+S$3*$H288)*(1+S$2),_xlpm.a/2+_xlpm.b/2)</f>
        <v>30</v>
      </c>
    </row>
    <row r="289" spans="1:20">
      <c r="A289" s="1" t="s">
        <v>559</v>
      </c>
      <c r="B289" s="1" t="s">
        <v>565</v>
      </c>
      <c r="C289" s="1" t="s">
        <v>39</v>
      </c>
      <c r="D289" s="1" t="s">
        <v>554</v>
      </c>
      <c r="E289" s="1">
        <v>1</v>
      </c>
      <c r="F289" s="1">
        <v>1</v>
      </c>
      <c r="G289" s="1">
        <v>0</v>
      </c>
      <c r="H289" s="1">
        <v>2</v>
      </c>
      <c r="K289" s="1" t="s">
        <v>560</v>
      </c>
      <c r="L289" s="1" t="s">
        <v>552</v>
      </c>
      <c r="M289" s="1" t="s">
        <v>569</v>
      </c>
      <c r="N289" s="1">
        <v>19</v>
      </c>
      <c r="O289" s="1">
        <v>21</v>
      </c>
      <c r="P289" s="1">
        <v>100</v>
      </c>
      <c r="Q289" s="1" t="str">
        <f t="shared" si="42"/>
        <v>1-1</v>
      </c>
      <c r="R289" s="1" t="str">
        <f t="shared" si="42"/>
        <v>1-9</v>
      </c>
      <c r="S289" s="1" t="str">
        <f t="shared" si="42"/>
        <v>6-54</v>
      </c>
      <c r="T289" s="1">
        <f t="shared" ref="T289" si="44">_xlfn.LET(_xlpm.a,($E289+S$3*$G289)*(1+S$2),_xlpm.b,($F289+S$3*$H289)*(1+S$2),_xlpm.a/2+_xlpm.b/2)</f>
        <v>30</v>
      </c>
    </row>
    <row r="290" spans="1:20">
      <c r="A290" s="1" t="s">
        <v>562</v>
      </c>
      <c r="B290" s="1" t="s">
        <v>563</v>
      </c>
      <c r="C290" s="1" t="s">
        <v>39</v>
      </c>
      <c r="D290" s="1" t="s">
        <v>554</v>
      </c>
      <c r="E290" s="1">
        <v>1</v>
      </c>
      <c r="F290" s="1">
        <v>1</v>
      </c>
      <c r="G290" s="1">
        <v>0</v>
      </c>
      <c r="H290" s="1">
        <v>2</v>
      </c>
      <c r="K290" s="1" t="s">
        <v>566</v>
      </c>
      <c r="L290" s="1" t="s">
        <v>552</v>
      </c>
      <c r="M290" s="1" t="s">
        <v>569</v>
      </c>
      <c r="N290" s="1">
        <v>19</v>
      </c>
      <c r="O290" s="1">
        <v>21</v>
      </c>
      <c r="P290" s="1">
        <v>100</v>
      </c>
      <c r="Q290" s="1" t="str">
        <f t="shared" si="42"/>
        <v>1-1</v>
      </c>
      <c r="R290" s="1" t="str">
        <f t="shared" si="42"/>
        <v>1-9</v>
      </c>
      <c r="S290" s="1" t="str">
        <f t="shared" si="42"/>
        <v>6-54</v>
      </c>
      <c r="T290" s="1">
        <f t="shared" ref="T290" si="45">_xlfn.LET(_xlpm.a,($E290+S$3*$G290)*(1+S$2),_xlpm.b,($F290+S$3*$H290)*(1+S$2),_xlpm.a/2+_xlpm.b/2)</f>
        <v>30</v>
      </c>
    </row>
    <row r="291" spans="1:20">
      <c r="A291" s="1" t="s">
        <v>116</v>
      </c>
      <c r="B291" s="1" t="s">
        <v>537</v>
      </c>
      <c r="C291" s="1" t="s">
        <v>39</v>
      </c>
      <c r="D291" s="1" t="s">
        <v>247</v>
      </c>
      <c r="E291" s="1">
        <v>1</v>
      </c>
      <c r="F291" s="1">
        <v>10</v>
      </c>
      <c r="G291" s="1">
        <v>0</v>
      </c>
      <c r="H291" s="1">
        <v>1.25</v>
      </c>
      <c r="M291" s="1" t="s">
        <v>547</v>
      </c>
      <c r="P291" s="1">
        <v>100</v>
      </c>
      <c r="Q291" s="1" t="str">
        <f t="shared" si="42"/>
        <v>1-10</v>
      </c>
      <c r="R291" s="1" t="str">
        <f t="shared" si="42"/>
        <v>1-15</v>
      </c>
      <c r="S291" s="1" t="str">
        <f t="shared" si="42"/>
        <v>6-90</v>
      </c>
      <c r="T291" s="1">
        <f t="shared" ref="T291" si="46">_xlfn.LET(_xlpm.a,($E291+S$3*$G291)*(1+S$2),_xlpm.b,($F291+S$3*$H291)*(1+S$2),_xlpm.a/2+_xlpm.b/2)</f>
        <v>48</v>
      </c>
    </row>
    <row r="292" spans="1:20">
      <c r="A292" s="1" t="s">
        <v>272</v>
      </c>
      <c r="B292" s="1" t="s">
        <v>538</v>
      </c>
      <c r="C292" s="1" t="s">
        <v>39</v>
      </c>
      <c r="D292" s="1" t="s">
        <v>273</v>
      </c>
      <c r="E292" s="1">
        <v>1</v>
      </c>
      <c r="F292" s="1">
        <v>10</v>
      </c>
      <c r="G292" s="1">
        <v>0</v>
      </c>
      <c r="H292" s="1">
        <v>1.25</v>
      </c>
      <c r="M292" s="1" t="s">
        <v>547</v>
      </c>
      <c r="P292" s="1">
        <v>100</v>
      </c>
      <c r="Q292" s="1" t="str">
        <f t="shared" si="42"/>
        <v>1-10</v>
      </c>
      <c r="R292" s="1" t="str">
        <f t="shared" si="42"/>
        <v>1-15</v>
      </c>
      <c r="S292" s="1" t="str">
        <f t="shared" si="42"/>
        <v>6-90</v>
      </c>
      <c r="T292" s="1">
        <f t="shared" ref="T292" si="47">_xlfn.LET(_xlpm.a,($E292+S$3*$G292)*(1+S$2),_xlpm.b,($F292+S$3*$H292)*(1+S$2),_xlpm.a/2+_xlpm.b/2)</f>
        <v>48</v>
      </c>
    </row>
    <row r="293" spans="1:20">
      <c r="A293" s="1" t="s">
        <v>274</v>
      </c>
      <c r="B293" s="1" t="s">
        <v>539</v>
      </c>
      <c r="C293" s="1" t="s">
        <v>39</v>
      </c>
      <c r="D293" s="1" t="s">
        <v>275</v>
      </c>
      <c r="E293" s="1">
        <v>1</v>
      </c>
      <c r="F293" s="1">
        <v>1</v>
      </c>
      <c r="G293" s="1">
        <v>0</v>
      </c>
      <c r="H293" s="1">
        <v>0.25</v>
      </c>
      <c r="M293" s="1" t="s">
        <v>547</v>
      </c>
      <c r="P293" s="1">
        <v>100</v>
      </c>
      <c r="Q293" s="1" t="str">
        <f t="shared" si="42"/>
        <v>1-1</v>
      </c>
      <c r="R293" s="1" t="str">
        <f t="shared" si="42"/>
        <v>1-2</v>
      </c>
      <c r="S293" s="1" t="str">
        <f t="shared" si="42"/>
        <v>6-12</v>
      </c>
      <c r="T293" s="1">
        <f t="shared" ref="T293" si="48">_xlfn.LET(_xlpm.a,($E293+S$3*$G293)*(1+S$2),_xlpm.b,($F293+S$3*$H293)*(1+S$2),_xlpm.a/2+_xlpm.b/2)</f>
        <v>9</v>
      </c>
    </row>
    <row r="294" spans="1:20">
      <c r="A294" s="1" t="s">
        <v>278</v>
      </c>
      <c r="B294" s="1" t="s">
        <v>540</v>
      </c>
      <c r="C294" s="1" t="s">
        <v>39</v>
      </c>
      <c r="D294" s="1" t="s">
        <v>276</v>
      </c>
      <c r="E294" s="1">
        <v>1</v>
      </c>
      <c r="F294" s="1">
        <v>5</v>
      </c>
      <c r="G294" s="1">
        <v>0</v>
      </c>
      <c r="H294" s="1">
        <v>1.25</v>
      </c>
      <c r="N294" s="1">
        <v>28</v>
      </c>
      <c r="O294" s="1">
        <v>32</v>
      </c>
      <c r="Q294" s="1" t="str">
        <f t="shared" si="42"/>
        <v>1-5</v>
      </c>
      <c r="R294" s="1" t="str">
        <f t="shared" si="42"/>
        <v>1-10</v>
      </c>
      <c r="S294" s="1" t="str">
        <f t="shared" si="42"/>
        <v>6-60</v>
      </c>
      <c r="T294" s="1">
        <f t="shared" ref="T294:T295" si="49">_xlfn.LET(_xlpm.a,($E294+S$3*$G294)*(1+S$2),_xlpm.b,($F294+S$3*$H294)*(1+S$2),_xlpm.a/2+_xlpm.b/2)</f>
        <v>33</v>
      </c>
    </row>
    <row r="295" spans="1:20">
      <c r="A295" s="1" t="s">
        <v>279</v>
      </c>
      <c r="B295" s="1" t="s">
        <v>541</v>
      </c>
      <c r="C295" s="1" t="s">
        <v>39</v>
      </c>
      <c r="D295" s="1" t="s">
        <v>277</v>
      </c>
      <c r="E295" s="1">
        <v>5</v>
      </c>
      <c r="F295" s="1">
        <v>15</v>
      </c>
      <c r="G295" s="1">
        <v>1.25</v>
      </c>
      <c r="H295" s="1">
        <v>8.75</v>
      </c>
      <c r="M295" s="1" t="s">
        <v>394</v>
      </c>
      <c r="N295" s="1">
        <v>30</v>
      </c>
      <c r="O295" s="1">
        <v>34</v>
      </c>
      <c r="P295" s="1">
        <v>20</v>
      </c>
      <c r="Q295" s="1" t="str">
        <f t="shared" si="42"/>
        <v>5-15</v>
      </c>
      <c r="R295" s="1" t="str">
        <f t="shared" si="42"/>
        <v>10-50</v>
      </c>
      <c r="S295" s="1" t="str">
        <f t="shared" si="42"/>
        <v>60-300</v>
      </c>
      <c r="T295" s="1">
        <f t="shared" si="49"/>
        <v>180</v>
      </c>
    </row>
    <row r="296" spans="1:20">
      <c r="A296" s="1" t="s">
        <v>297</v>
      </c>
      <c r="B296" s="1" t="s">
        <v>542</v>
      </c>
      <c r="C296" s="1" t="s">
        <v>39</v>
      </c>
      <c r="D296" s="1" t="s">
        <v>291</v>
      </c>
      <c r="E296" s="1">
        <v>2.5</v>
      </c>
      <c r="F296" s="1">
        <v>5</v>
      </c>
      <c r="G296" s="1">
        <v>0.625</v>
      </c>
      <c r="H296" s="1">
        <v>1.25</v>
      </c>
      <c r="N296" s="1">
        <v>25</v>
      </c>
      <c r="O296" s="1">
        <v>28</v>
      </c>
      <c r="Q296" s="1" t="str">
        <f t="shared" si="42"/>
        <v>2.5-5</v>
      </c>
      <c r="R296" s="1" t="str">
        <f t="shared" si="42"/>
        <v>5-10</v>
      </c>
      <c r="S296" s="1" t="str">
        <f t="shared" si="42"/>
        <v>30-60</v>
      </c>
      <c r="T296" s="1">
        <f t="shared" ref="T296" si="50">_xlfn.LET(_xlpm.a,($E296+S$3*$G296)*(1+S$2),_xlpm.b,($F296+S$3*$H296)*(1+S$2),_xlpm.a/2+_xlpm.b/2)</f>
        <v>45</v>
      </c>
    </row>
    <row r="297" spans="1:20">
      <c r="A297" s="1" t="s">
        <v>298</v>
      </c>
      <c r="B297" s="1" t="s">
        <v>543</v>
      </c>
      <c r="C297" s="1" t="s">
        <v>39</v>
      </c>
      <c r="D297" s="1" t="s">
        <v>292</v>
      </c>
      <c r="E297" s="1">
        <v>5</v>
      </c>
      <c r="F297" s="1">
        <v>10</v>
      </c>
      <c r="G297" s="1">
        <v>1.25</v>
      </c>
      <c r="H297" s="1">
        <v>2.5</v>
      </c>
      <c r="N297" s="1">
        <v>25</v>
      </c>
      <c r="O297" s="1">
        <v>28</v>
      </c>
      <c r="Q297" s="1" t="str">
        <f t="shared" si="42"/>
        <v>5-10</v>
      </c>
      <c r="R297" s="1" t="str">
        <f t="shared" si="42"/>
        <v>10-20</v>
      </c>
      <c r="S297" s="1" t="str">
        <f t="shared" si="42"/>
        <v>60-120</v>
      </c>
      <c r="T297" s="1">
        <f t="shared" ref="T297:T341" si="51">_xlfn.LET(_xlpm.a,($E297+S$3*$G297)*(1+S$2),_xlpm.b,($F297+S$3*$H297)*(1+S$2),_xlpm.a/2+_xlpm.b/2)</f>
        <v>90</v>
      </c>
    </row>
    <row r="298" spans="1:20">
      <c r="A298" s="1" t="s">
        <v>299</v>
      </c>
      <c r="B298" s="1" t="s">
        <v>544</v>
      </c>
      <c r="C298" s="1" t="s">
        <v>39</v>
      </c>
      <c r="D298" s="1" t="s">
        <v>293</v>
      </c>
      <c r="E298" s="1">
        <v>5</v>
      </c>
      <c r="F298" s="1">
        <v>10</v>
      </c>
      <c r="G298" s="1">
        <v>1.25</v>
      </c>
      <c r="H298" s="1">
        <v>2.5</v>
      </c>
      <c r="N298" s="1">
        <v>25</v>
      </c>
      <c r="O298" s="1">
        <v>28</v>
      </c>
      <c r="Q298" s="1" t="str">
        <f t="shared" si="42"/>
        <v>5-10</v>
      </c>
      <c r="R298" s="1" t="str">
        <f t="shared" si="42"/>
        <v>10-20</v>
      </c>
      <c r="S298" s="1" t="str">
        <f t="shared" si="42"/>
        <v>60-120</v>
      </c>
      <c r="T298" s="1">
        <f t="shared" si="51"/>
        <v>90</v>
      </c>
    </row>
    <row r="299" spans="1:20">
      <c r="A299" s="1" t="s">
        <v>300</v>
      </c>
      <c r="B299" s="1" t="s">
        <v>545</v>
      </c>
      <c r="C299" s="1" t="s">
        <v>39</v>
      </c>
      <c r="D299" s="1" t="s">
        <v>294</v>
      </c>
      <c r="E299" s="1">
        <v>5</v>
      </c>
      <c r="F299" s="1">
        <v>10</v>
      </c>
      <c r="G299" s="1">
        <v>1.25</v>
      </c>
      <c r="H299" s="1">
        <v>2.5</v>
      </c>
      <c r="N299" s="1">
        <v>25</v>
      </c>
      <c r="O299" s="1">
        <v>28</v>
      </c>
      <c r="Q299" s="1" t="str">
        <f t="shared" si="42"/>
        <v>5-10</v>
      </c>
      <c r="R299" s="1" t="str">
        <f t="shared" si="42"/>
        <v>10-20</v>
      </c>
      <c r="S299" s="1" t="str">
        <f t="shared" si="42"/>
        <v>60-120</v>
      </c>
      <c r="T299" s="1">
        <f t="shared" si="51"/>
        <v>90</v>
      </c>
    </row>
    <row r="300" spans="1:20">
      <c r="A300" s="1" t="s">
        <v>301</v>
      </c>
      <c r="B300" s="1" t="s">
        <v>546</v>
      </c>
      <c r="C300" s="1" t="s">
        <v>39</v>
      </c>
      <c r="D300" s="1" t="s">
        <v>295</v>
      </c>
      <c r="E300" s="1">
        <v>5</v>
      </c>
      <c r="F300" s="1">
        <v>10</v>
      </c>
      <c r="G300" s="1">
        <v>1.25</v>
      </c>
      <c r="H300" s="1">
        <v>2.5</v>
      </c>
      <c r="N300" s="1">
        <v>25</v>
      </c>
      <c r="O300" s="1">
        <v>28</v>
      </c>
      <c r="Q300" s="1" t="str">
        <f t="shared" si="42"/>
        <v>5-10</v>
      </c>
      <c r="R300" s="1" t="str">
        <f t="shared" si="42"/>
        <v>10-20</v>
      </c>
      <c r="S300" s="1" t="str">
        <f t="shared" si="42"/>
        <v>60-120</v>
      </c>
      <c r="T300" s="1">
        <f t="shared" si="51"/>
        <v>90</v>
      </c>
    </row>
    <row r="301" spans="1:20">
      <c r="A301" s="1" t="s">
        <v>642</v>
      </c>
      <c r="B301" s="1" t="s">
        <v>642</v>
      </c>
      <c r="C301" s="1" t="s">
        <v>39</v>
      </c>
      <c r="D301" s="1" t="s">
        <v>291</v>
      </c>
      <c r="E301" s="1">
        <v>5</v>
      </c>
      <c r="F301" s="1">
        <v>5</v>
      </c>
      <c r="G301" s="1">
        <v>0</v>
      </c>
      <c r="H301" s="1">
        <v>0</v>
      </c>
      <c r="I301" s="1">
        <v>0</v>
      </c>
      <c r="Q301" s="1" t="str">
        <f t="shared" si="42"/>
        <v>5-5</v>
      </c>
      <c r="R301" s="1" t="str">
        <f t="shared" si="42"/>
        <v>5-5</v>
      </c>
      <c r="S301" s="1" t="str">
        <f t="shared" si="42"/>
        <v>30-30</v>
      </c>
      <c r="T301" s="1">
        <f t="shared" ref="T301:T305" si="52">_xlfn.LET(_xlpm.a,($E301+S$3*$G301)*(1+S$2),_xlpm.b,($F301+S$3*$H301)*(1+S$2),_xlpm.a/2+_xlpm.b/2)</f>
        <v>30</v>
      </c>
    </row>
    <row r="302" spans="1:20">
      <c r="A302" s="1" t="s">
        <v>643</v>
      </c>
      <c r="B302" s="1" t="s">
        <v>643</v>
      </c>
      <c r="C302" s="1" t="s">
        <v>39</v>
      </c>
      <c r="D302" s="1" t="s">
        <v>292</v>
      </c>
      <c r="E302" s="1">
        <v>5</v>
      </c>
      <c r="F302" s="1">
        <v>5</v>
      </c>
      <c r="G302" s="1">
        <v>0</v>
      </c>
      <c r="H302" s="1">
        <v>0</v>
      </c>
      <c r="I302" s="1">
        <v>0</v>
      </c>
      <c r="Q302" s="1" t="str">
        <f t="shared" ref="Q302:S305" si="53">_xlfn.LET(_xlpm.a,($E302+Q$3*$G302)*(1+Q$2),_xlpm.b,($F302+Q$3*$H302)*(1+Q$2),_xlpm.a&amp;"-"&amp;_xlpm.b)</f>
        <v>5-5</v>
      </c>
      <c r="R302" s="1" t="str">
        <f t="shared" si="53"/>
        <v>5-5</v>
      </c>
      <c r="S302" s="1" t="str">
        <f t="shared" si="53"/>
        <v>30-30</v>
      </c>
      <c r="T302" s="1">
        <f t="shared" si="52"/>
        <v>30</v>
      </c>
    </row>
    <row r="303" spans="1:20">
      <c r="A303" s="1" t="s">
        <v>644</v>
      </c>
      <c r="B303" s="1" t="s">
        <v>644</v>
      </c>
      <c r="C303" s="1" t="s">
        <v>39</v>
      </c>
      <c r="D303" s="1" t="s">
        <v>293</v>
      </c>
      <c r="E303" s="1">
        <v>5</v>
      </c>
      <c r="F303" s="1">
        <v>5</v>
      </c>
      <c r="G303" s="1">
        <v>0</v>
      </c>
      <c r="H303" s="1">
        <v>0</v>
      </c>
      <c r="I303" s="1">
        <v>0</v>
      </c>
      <c r="Q303" s="1" t="str">
        <f t="shared" si="53"/>
        <v>5-5</v>
      </c>
      <c r="R303" s="1" t="str">
        <f t="shared" si="53"/>
        <v>5-5</v>
      </c>
      <c r="S303" s="1" t="str">
        <f t="shared" si="53"/>
        <v>30-30</v>
      </c>
      <c r="T303" s="1">
        <f t="shared" si="52"/>
        <v>30</v>
      </c>
    </row>
    <row r="304" spans="1:20">
      <c r="A304" s="1" t="s">
        <v>645</v>
      </c>
      <c r="B304" s="1" t="s">
        <v>645</v>
      </c>
      <c r="C304" s="1" t="s">
        <v>39</v>
      </c>
      <c r="D304" s="1" t="s">
        <v>294</v>
      </c>
      <c r="E304" s="1">
        <v>5</v>
      </c>
      <c r="F304" s="1">
        <v>5</v>
      </c>
      <c r="G304" s="1">
        <v>0</v>
      </c>
      <c r="H304" s="1">
        <v>0</v>
      </c>
      <c r="I304" s="1">
        <v>0</v>
      </c>
      <c r="Q304" s="1" t="str">
        <f t="shared" si="53"/>
        <v>5-5</v>
      </c>
      <c r="R304" s="1" t="str">
        <f t="shared" si="53"/>
        <v>5-5</v>
      </c>
      <c r="S304" s="1" t="str">
        <f t="shared" si="53"/>
        <v>30-30</v>
      </c>
      <c r="T304" s="1">
        <f t="shared" si="52"/>
        <v>30</v>
      </c>
    </row>
    <row r="305" spans="1:20">
      <c r="A305" s="1" t="s">
        <v>646</v>
      </c>
      <c r="B305" s="1" t="s">
        <v>646</v>
      </c>
      <c r="C305" s="1" t="s">
        <v>39</v>
      </c>
      <c r="D305" s="1" t="s">
        <v>295</v>
      </c>
      <c r="E305" s="1">
        <v>5</v>
      </c>
      <c r="F305" s="1">
        <v>5</v>
      </c>
      <c r="G305" s="1">
        <v>0</v>
      </c>
      <c r="H305" s="1">
        <v>0</v>
      </c>
      <c r="I305" s="1">
        <v>0</v>
      </c>
      <c r="Q305" s="1" t="str">
        <f t="shared" si="53"/>
        <v>5-5</v>
      </c>
      <c r="R305" s="1" t="str">
        <f t="shared" si="53"/>
        <v>5-5</v>
      </c>
      <c r="S305" s="1" t="str">
        <f t="shared" si="53"/>
        <v>30-30</v>
      </c>
      <c r="T305" s="1">
        <f t="shared" si="52"/>
        <v>30</v>
      </c>
    </row>
    <row r="306" spans="1:20">
      <c r="A306" s="1" t="s">
        <v>302</v>
      </c>
      <c r="B306" s="1" t="s">
        <v>303</v>
      </c>
      <c r="C306" s="1" t="s">
        <v>39</v>
      </c>
      <c r="D306" s="1" t="s">
        <v>303</v>
      </c>
      <c r="E306" s="1">
        <v>1</v>
      </c>
      <c r="F306" s="1">
        <v>1</v>
      </c>
      <c r="G306" s="1">
        <v>0</v>
      </c>
      <c r="H306" s="1">
        <v>0.5</v>
      </c>
      <c r="Q306" s="1" t="str">
        <f t="shared" ref="Q306:S321" si="54">_xlfn.LET(_xlpm.a,($E306+Q$3*$G306)*(1+Q$2),_xlpm.b,($F306+Q$3*$H306)*(1+Q$2),_xlpm.a&amp;"-"&amp;_xlpm.b)</f>
        <v>1-1</v>
      </c>
      <c r="R306" s="1" t="str">
        <f t="shared" si="54"/>
        <v>1-3</v>
      </c>
      <c r="S306" s="1" t="str">
        <f t="shared" si="54"/>
        <v>6-18</v>
      </c>
      <c r="T306" s="1">
        <f t="shared" si="51"/>
        <v>12</v>
      </c>
    </row>
    <row r="307" spans="1:20">
      <c r="A307" s="1" t="s">
        <v>304</v>
      </c>
      <c r="B307" s="1" t="s">
        <v>305</v>
      </c>
      <c r="C307" s="1" t="s">
        <v>39</v>
      </c>
      <c r="D307" s="1" t="s">
        <v>305</v>
      </c>
      <c r="E307" s="1">
        <v>1</v>
      </c>
      <c r="F307" s="1">
        <v>1</v>
      </c>
      <c r="G307" s="1">
        <v>0</v>
      </c>
      <c r="H307" s="1">
        <v>0.5</v>
      </c>
      <c r="Q307" s="1" t="str">
        <f t="shared" si="54"/>
        <v>1-1</v>
      </c>
      <c r="R307" s="1" t="str">
        <f t="shared" si="54"/>
        <v>1-3</v>
      </c>
      <c r="S307" s="1" t="str">
        <f t="shared" si="54"/>
        <v>6-18</v>
      </c>
      <c r="T307" s="1">
        <f t="shared" si="51"/>
        <v>12</v>
      </c>
    </row>
    <row r="308" spans="1:20">
      <c r="A308" s="1" t="s">
        <v>306</v>
      </c>
      <c r="B308" s="1" t="s">
        <v>307</v>
      </c>
      <c r="C308" s="1" t="s">
        <v>39</v>
      </c>
      <c r="D308" s="1" t="s">
        <v>307</v>
      </c>
      <c r="E308" s="1">
        <v>1</v>
      </c>
      <c r="F308" s="1">
        <v>1</v>
      </c>
      <c r="G308" s="1">
        <v>0</v>
      </c>
      <c r="H308" s="1">
        <v>0.5</v>
      </c>
      <c r="Q308" s="1" t="str">
        <f t="shared" si="54"/>
        <v>1-1</v>
      </c>
      <c r="R308" s="1" t="str">
        <f t="shared" si="54"/>
        <v>1-3</v>
      </c>
      <c r="S308" s="1" t="str">
        <f t="shared" si="54"/>
        <v>6-18</v>
      </c>
      <c r="T308" s="1">
        <f t="shared" si="51"/>
        <v>12</v>
      </c>
    </row>
    <row r="309" spans="1:20">
      <c r="A309" s="1" t="s">
        <v>308</v>
      </c>
      <c r="B309" s="1" t="s">
        <v>309</v>
      </c>
      <c r="C309" s="1" t="s">
        <v>39</v>
      </c>
      <c r="D309" s="1" t="s">
        <v>309</v>
      </c>
      <c r="E309" s="1">
        <v>1</v>
      </c>
      <c r="F309" s="1">
        <v>1</v>
      </c>
      <c r="G309" s="1">
        <v>0</v>
      </c>
      <c r="H309" s="1">
        <v>0.5</v>
      </c>
      <c r="Q309" s="1" t="str">
        <f t="shared" si="54"/>
        <v>1-1</v>
      </c>
      <c r="R309" s="1" t="str">
        <f t="shared" si="54"/>
        <v>1-3</v>
      </c>
      <c r="S309" s="1" t="str">
        <f t="shared" si="54"/>
        <v>6-18</v>
      </c>
      <c r="T309" s="1">
        <f t="shared" si="51"/>
        <v>12</v>
      </c>
    </row>
    <row r="310" spans="1:20">
      <c r="A310" s="1" t="s">
        <v>310</v>
      </c>
      <c r="B310" s="1" t="s">
        <v>311</v>
      </c>
      <c r="C310" s="1" t="s">
        <v>39</v>
      </c>
      <c r="D310" s="1" t="s">
        <v>311</v>
      </c>
      <c r="E310" s="1">
        <v>1</v>
      </c>
      <c r="F310" s="1">
        <v>1</v>
      </c>
      <c r="G310" s="1">
        <v>0</v>
      </c>
      <c r="H310" s="1">
        <v>0.5</v>
      </c>
      <c r="Q310" s="1" t="str">
        <f t="shared" si="54"/>
        <v>1-1</v>
      </c>
      <c r="R310" s="1" t="str">
        <f t="shared" si="54"/>
        <v>1-3</v>
      </c>
      <c r="S310" s="1" t="str">
        <f t="shared" si="54"/>
        <v>6-18</v>
      </c>
      <c r="T310" s="1">
        <f t="shared" si="51"/>
        <v>12</v>
      </c>
    </row>
    <row r="311" spans="1:20">
      <c r="A311" s="1" t="s">
        <v>312</v>
      </c>
      <c r="B311" s="1" t="s">
        <v>313</v>
      </c>
      <c r="C311" s="1" t="s">
        <v>39</v>
      </c>
      <c r="D311" s="1" t="s">
        <v>313</v>
      </c>
      <c r="E311" s="1">
        <v>1</v>
      </c>
      <c r="F311" s="1">
        <v>1</v>
      </c>
      <c r="G311" s="1">
        <v>0</v>
      </c>
      <c r="H311" s="1">
        <v>0.5</v>
      </c>
      <c r="Q311" s="1" t="str">
        <f t="shared" si="54"/>
        <v>1-1</v>
      </c>
      <c r="R311" s="1" t="str">
        <f t="shared" si="54"/>
        <v>1-3</v>
      </c>
      <c r="S311" s="1" t="str">
        <f t="shared" si="54"/>
        <v>6-18</v>
      </c>
      <c r="T311" s="1">
        <f t="shared" si="51"/>
        <v>12</v>
      </c>
    </row>
    <row r="312" spans="1:20">
      <c r="A312" s="1" t="s">
        <v>314</v>
      </c>
      <c r="B312" s="1" t="s">
        <v>315</v>
      </c>
      <c r="C312" s="1" t="s">
        <v>39</v>
      </c>
      <c r="D312" s="1" t="s">
        <v>315</v>
      </c>
      <c r="E312" s="1">
        <v>1</v>
      </c>
      <c r="F312" s="1">
        <v>1</v>
      </c>
      <c r="G312" s="1">
        <v>0</v>
      </c>
      <c r="H312" s="1">
        <v>0.5</v>
      </c>
      <c r="Q312" s="1" t="str">
        <f t="shared" si="54"/>
        <v>1-1</v>
      </c>
      <c r="R312" s="1" t="str">
        <f t="shared" si="54"/>
        <v>1-3</v>
      </c>
      <c r="S312" s="1" t="str">
        <f t="shared" si="54"/>
        <v>6-18</v>
      </c>
      <c r="T312" s="1">
        <f t="shared" si="51"/>
        <v>12</v>
      </c>
    </row>
    <row r="313" spans="1:20">
      <c r="A313" s="1" t="s">
        <v>316</v>
      </c>
      <c r="B313" s="1" t="s">
        <v>317</v>
      </c>
      <c r="C313" s="1" t="s">
        <v>39</v>
      </c>
      <c r="D313" s="1" t="s">
        <v>317</v>
      </c>
      <c r="E313" s="1">
        <v>1</v>
      </c>
      <c r="F313" s="1">
        <v>1</v>
      </c>
      <c r="G313" s="1">
        <v>0</v>
      </c>
      <c r="H313" s="1">
        <v>0.5</v>
      </c>
      <c r="Q313" s="1" t="str">
        <f t="shared" si="54"/>
        <v>1-1</v>
      </c>
      <c r="R313" s="1" t="str">
        <f t="shared" si="54"/>
        <v>1-3</v>
      </c>
      <c r="S313" s="1" t="str">
        <f t="shared" si="54"/>
        <v>6-18</v>
      </c>
      <c r="T313" s="1">
        <f t="shared" si="51"/>
        <v>12</v>
      </c>
    </row>
    <row r="314" spans="1:20">
      <c r="A314" s="1" t="s">
        <v>318</v>
      </c>
      <c r="B314" s="1" t="s">
        <v>319</v>
      </c>
      <c r="C314" s="1" t="s">
        <v>39</v>
      </c>
      <c r="D314" s="1" t="s">
        <v>319</v>
      </c>
      <c r="E314" s="1">
        <v>1</v>
      </c>
      <c r="F314" s="1">
        <v>1</v>
      </c>
      <c r="G314" s="1">
        <v>0</v>
      </c>
      <c r="H314" s="1">
        <v>0.5</v>
      </c>
      <c r="Q314" s="1" t="str">
        <f t="shared" si="54"/>
        <v>1-1</v>
      </c>
      <c r="R314" s="1" t="str">
        <f t="shared" si="54"/>
        <v>1-3</v>
      </c>
      <c r="S314" s="1" t="str">
        <f t="shared" si="54"/>
        <v>6-18</v>
      </c>
      <c r="T314" s="1">
        <f t="shared" si="51"/>
        <v>12</v>
      </c>
    </row>
    <row r="315" spans="1:20">
      <c r="A315" s="1" t="s">
        <v>320</v>
      </c>
      <c r="B315" s="1" t="s">
        <v>321</v>
      </c>
      <c r="C315" s="1" t="s">
        <v>39</v>
      </c>
      <c r="D315" s="1" t="s">
        <v>321</v>
      </c>
      <c r="E315" s="1">
        <v>1</v>
      </c>
      <c r="F315" s="1">
        <v>1</v>
      </c>
      <c r="G315" s="1">
        <v>0</v>
      </c>
      <c r="H315" s="1">
        <v>0.5</v>
      </c>
      <c r="Q315" s="1" t="str">
        <f t="shared" si="54"/>
        <v>1-1</v>
      </c>
      <c r="R315" s="1" t="str">
        <f t="shared" si="54"/>
        <v>1-3</v>
      </c>
      <c r="S315" s="1" t="str">
        <f t="shared" si="54"/>
        <v>6-18</v>
      </c>
      <c r="T315" s="1">
        <f t="shared" si="51"/>
        <v>12</v>
      </c>
    </row>
    <row r="316" spans="1:20">
      <c r="A316" s="1" t="s">
        <v>322</v>
      </c>
      <c r="B316" s="1" t="s">
        <v>323</v>
      </c>
      <c r="C316" s="1" t="s">
        <v>39</v>
      </c>
      <c r="D316" s="1" t="s">
        <v>323</v>
      </c>
      <c r="E316" s="1">
        <v>1</v>
      </c>
      <c r="F316" s="1">
        <v>1</v>
      </c>
      <c r="G316" s="1">
        <v>0</v>
      </c>
      <c r="H316" s="1">
        <v>0.5</v>
      </c>
      <c r="Q316" s="1" t="str">
        <f t="shared" si="54"/>
        <v>1-1</v>
      </c>
      <c r="R316" s="1" t="str">
        <f t="shared" si="54"/>
        <v>1-3</v>
      </c>
      <c r="S316" s="1" t="str">
        <f t="shared" si="54"/>
        <v>6-18</v>
      </c>
      <c r="T316" s="1">
        <f t="shared" si="51"/>
        <v>12</v>
      </c>
    </row>
    <row r="317" spans="1:20">
      <c r="A317" s="1" t="s">
        <v>324</v>
      </c>
      <c r="B317" s="1" t="s">
        <v>325</v>
      </c>
      <c r="C317" s="1" t="s">
        <v>39</v>
      </c>
      <c r="D317" s="1" t="s">
        <v>325</v>
      </c>
      <c r="E317" s="1">
        <v>1</v>
      </c>
      <c r="F317" s="1">
        <v>1</v>
      </c>
      <c r="G317" s="1">
        <v>0</v>
      </c>
      <c r="H317" s="1">
        <v>0.5</v>
      </c>
      <c r="Q317" s="1" t="str">
        <f t="shared" si="54"/>
        <v>1-1</v>
      </c>
      <c r="R317" s="1" t="str">
        <f t="shared" si="54"/>
        <v>1-3</v>
      </c>
      <c r="S317" s="1" t="str">
        <f t="shared" si="54"/>
        <v>6-18</v>
      </c>
      <c r="T317" s="1">
        <f t="shared" si="51"/>
        <v>12</v>
      </c>
    </row>
    <row r="318" spans="1:20">
      <c r="A318" s="1" t="s">
        <v>326</v>
      </c>
      <c r="B318" s="1" t="s">
        <v>327</v>
      </c>
      <c r="C318" s="1" t="s">
        <v>39</v>
      </c>
      <c r="D318" s="1" t="s">
        <v>327</v>
      </c>
      <c r="E318" s="1">
        <v>1</v>
      </c>
      <c r="F318" s="1">
        <v>1</v>
      </c>
      <c r="G318" s="1">
        <v>0</v>
      </c>
      <c r="H318" s="1">
        <v>0.5</v>
      </c>
      <c r="Q318" s="1" t="str">
        <f t="shared" si="54"/>
        <v>1-1</v>
      </c>
      <c r="R318" s="1" t="str">
        <f t="shared" si="54"/>
        <v>1-3</v>
      </c>
      <c r="S318" s="1" t="str">
        <f t="shared" si="54"/>
        <v>6-18</v>
      </c>
      <c r="T318" s="1">
        <f t="shared" si="51"/>
        <v>12</v>
      </c>
    </row>
    <row r="319" spans="1:20">
      <c r="A319" s="1" t="s">
        <v>328</v>
      </c>
      <c r="B319" s="1" t="s">
        <v>329</v>
      </c>
      <c r="C319" s="1" t="s">
        <v>39</v>
      </c>
      <c r="D319" s="1" t="s">
        <v>329</v>
      </c>
      <c r="E319" s="1">
        <v>1</v>
      </c>
      <c r="F319" s="1">
        <v>1</v>
      </c>
      <c r="G319" s="1">
        <v>0</v>
      </c>
      <c r="H319" s="1">
        <v>0.5</v>
      </c>
      <c r="Q319" s="1" t="str">
        <f t="shared" si="54"/>
        <v>1-1</v>
      </c>
      <c r="R319" s="1" t="str">
        <f t="shared" si="54"/>
        <v>1-3</v>
      </c>
      <c r="S319" s="1" t="str">
        <f t="shared" si="54"/>
        <v>6-18</v>
      </c>
      <c r="T319" s="1">
        <f t="shared" si="51"/>
        <v>12</v>
      </c>
    </row>
    <row r="320" spans="1:20">
      <c r="A320" s="1" t="s">
        <v>330</v>
      </c>
      <c r="B320" s="1" t="s">
        <v>331</v>
      </c>
      <c r="C320" s="1" t="s">
        <v>39</v>
      </c>
      <c r="D320" s="1" t="s">
        <v>331</v>
      </c>
      <c r="E320" s="1">
        <v>1</v>
      </c>
      <c r="F320" s="1">
        <v>1</v>
      </c>
      <c r="G320" s="1">
        <v>0</v>
      </c>
      <c r="H320" s="1">
        <v>0.5</v>
      </c>
      <c r="Q320" s="1" t="str">
        <f t="shared" si="54"/>
        <v>1-1</v>
      </c>
      <c r="R320" s="1" t="str">
        <f t="shared" si="54"/>
        <v>1-3</v>
      </c>
      <c r="S320" s="1" t="str">
        <f t="shared" si="54"/>
        <v>6-18</v>
      </c>
      <c r="T320" s="1">
        <f t="shared" si="51"/>
        <v>12</v>
      </c>
    </row>
    <row r="321" spans="1:20">
      <c r="A321" s="1" t="s">
        <v>332</v>
      </c>
      <c r="B321" s="1" t="s">
        <v>333</v>
      </c>
      <c r="C321" s="1" t="s">
        <v>39</v>
      </c>
      <c r="D321" s="1" t="s">
        <v>333</v>
      </c>
      <c r="E321" s="1">
        <v>1</v>
      </c>
      <c r="F321" s="1">
        <v>1</v>
      </c>
      <c r="G321" s="1">
        <v>0</v>
      </c>
      <c r="H321" s="1">
        <v>0.5</v>
      </c>
      <c r="Q321" s="1" t="str">
        <f t="shared" si="54"/>
        <v>1-1</v>
      </c>
      <c r="R321" s="1" t="str">
        <f t="shared" si="54"/>
        <v>1-3</v>
      </c>
      <c r="S321" s="1" t="str">
        <f t="shared" si="54"/>
        <v>6-18</v>
      </c>
      <c r="T321" s="1">
        <f t="shared" si="51"/>
        <v>12</v>
      </c>
    </row>
    <row r="322" spans="1:20">
      <c r="A322" s="1" t="s">
        <v>334</v>
      </c>
      <c r="B322" s="1" t="s">
        <v>335</v>
      </c>
      <c r="C322" s="1" t="s">
        <v>39</v>
      </c>
      <c r="D322" s="1" t="s">
        <v>335</v>
      </c>
      <c r="E322" s="1">
        <v>1</v>
      </c>
      <c r="F322" s="1">
        <v>1</v>
      </c>
      <c r="G322" s="1">
        <v>0</v>
      </c>
      <c r="H322" s="1">
        <v>0.5</v>
      </c>
      <c r="Q322" s="1" t="str">
        <f t="shared" ref="Q322:S343" si="55">_xlfn.LET(_xlpm.a,($E322+Q$3*$G322)*(1+Q$2),_xlpm.b,($F322+Q$3*$H322)*(1+Q$2),_xlpm.a&amp;"-"&amp;_xlpm.b)</f>
        <v>1-1</v>
      </c>
      <c r="R322" s="1" t="str">
        <f t="shared" si="55"/>
        <v>1-3</v>
      </c>
      <c r="S322" s="1" t="str">
        <f t="shared" si="55"/>
        <v>6-18</v>
      </c>
      <c r="T322" s="1">
        <f t="shared" si="51"/>
        <v>12</v>
      </c>
    </row>
    <row r="323" spans="1:20">
      <c r="A323" s="1" t="s">
        <v>336</v>
      </c>
      <c r="B323" s="1" t="s">
        <v>337</v>
      </c>
      <c r="C323" s="1" t="s">
        <v>39</v>
      </c>
      <c r="D323" s="1" t="s">
        <v>337</v>
      </c>
      <c r="E323" s="1">
        <v>1</v>
      </c>
      <c r="F323" s="1">
        <v>1</v>
      </c>
      <c r="G323" s="1">
        <v>0</v>
      </c>
      <c r="H323" s="1">
        <v>0.5</v>
      </c>
      <c r="Q323" s="1" t="str">
        <f t="shared" si="55"/>
        <v>1-1</v>
      </c>
      <c r="R323" s="1" t="str">
        <f t="shared" si="55"/>
        <v>1-3</v>
      </c>
      <c r="S323" s="1" t="str">
        <f t="shared" si="55"/>
        <v>6-18</v>
      </c>
      <c r="T323" s="1">
        <f t="shared" si="51"/>
        <v>12</v>
      </c>
    </row>
    <row r="324" spans="1:20">
      <c r="A324" s="1" t="s">
        <v>338</v>
      </c>
      <c r="B324" s="1" t="s">
        <v>339</v>
      </c>
      <c r="C324" s="1" t="s">
        <v>39</v>
      </c>
      <c r="D324" s="1" t="s">
        <v>339</v>
      </c>
      <c r="E324" s="1">
        <v>1</v>
      </c>
      <c r="F324" s="1">
        <v>1</v>
      </c>
      <c r="G324" s="1">
        <v>0</v>
      </c>
      <c r="H324" s="1">
        <v>0.5</v>
      </c>
      <c r="Q324" s="1" t="str">
        <f t="shared" si="55"/>
        <v>1-1</v>
      </c>
      <c r="R324" s="1" t="str">
        <f t="shared" si="55"/>
        <v>1-3</v>
      </c>
      <c r="S324" s="1" t="str">
        <f t="shared" si="55"/>
        <v>6-18</v>
      </c>
      <c r="T324" s="1">
        <f t="shared" si="51"/>
        <v>12</v>
      </c>
    </row>
    <row r="325" spans="1:20">
      <c r="A325" s="1" t="s">
        <v>340</v>
      </c>
      <c r="B325" s="1" t="s">
        <v>341</v>
      </c>
      <c r="C325" s="1" t="s">
        <v>39</v>
      </c>
      <c r="D325" s="1" t="s">
        <v>341</v>
      </c>
      <c r="E325" s="1">
        <v>1</v>
      </c>
      <c r="F325" s="1">
        <v>1</v>
      </c>
      <c r="G325" s="1">
        <v>0</v>
      </c>
      <c r="H325" s="1">
        <v>0.5</v>
      </c>
      <c r="Q325" s="1" t="str">
        <f t="shared" si="55"/>
        <v>1-1</v>
      </c>
      <c r="R325" s="1" t="str">
        <f t="shared" si="55"/>
        <v>1-3</v>
      </c>
      <c r="S325" s="1" t="str">
        <f t="shared" si="55"/>
        <v>6-18</v>
      </c>
      <c r="T325" s="1">
        <f t="shared" si="51"/>
        <v>12</v>
      </c>
    </row>
    <row r="326" spans="1:20">
      <c r="A326" s="1" t="s">
        <v>342</v>
      </c>
      <c r="B326" s="1" t="s">
        <v>343</v>
      </c>
      <c r="C326" s="1" t="s">
        <v>39</v>
      </c>
      <c r="D326" s="1" t="s">
        <v>343</v>
      </c>
      <c r="E326" s="1">
        <v>1</v>
      </c>
      <c r="F326" s="1">
        <v>1</v>
      </c>
      <c r="G326" s="1">
        <v>0</v>
      </c>
      <c r="H326" s="1">
        <v>0.5</v>
      </c>
      <c r="Q326" s="1" t="str">
        <f t="shared" si="55"/>
        <v>1-1</v>
      </c>
      <c r="R326" s="1" t="str">
        <f t="shared" si="55"/>
        <v>1-3</v>
      </c>
      <c r="S326" s="1" t="str">
        <f t="shared" si="55"/>
        <v>6-18</v>
      </c>
      <c r="T326" s="1">
        <f t="shared" si="51"/>
        <v>12</v>
      </c>
    </row>
    <row r="327" spans="1:20">
      <c r="A327" s="1" t="s">
        <v>344</v>
      </c>
      <c r="B327" s="1" t="s">
        <v>345</v>
      </c>
      <c r="C327" s="1" t="s">
        <v>39</v>
      </c>
      <c r="D327" s="1" t="s">
        <v>345</v>
      </c>
      <c r="E327" s="1">
        <v>1</v>
      </c>
      <c r="F327" s="1">
        <v>1</v>
      </c>
      <c r="G327" s="1">
        <v>0</v>
      </c>
      <c r="H327" s="1">
        <v>0.5</v>
      </c>
      <c r="Q327" s="1" t="str">
        <f t="shared" si="55"/>
        <v>1-1</v>
      </c>
      <c r="R327" s="1" t="str">
        <f t="shared" si="55"/>
        <v>1-3</v>
      </c>
      <c r="S327" s="1" t="str">
        <f t="shared" si="55"/>
        <v>6-18</v>
      </c>
      <c r="T327" s="1">
        <f t="shared" si="51"/>
        <v>12</v>
      </c>
    </row>
    <row r="328" spans="1:20">
      <c r="A328" s="1" t="s">
        <v>346</v>
      </c>
      <c r="B328" s="1" t="s">
        <v>347</v>
      </c>
      <c r="C328" s="1" t="s">
        <v>39</v>
      </c>
      <c r="D328" s="1" t="s">
        <v>347</v>
      </c>
      <c r="E328" s="1">
        <v>1</v>
      </c>
      <c r="F328" s="1">
        <v>1</v>
      </c>
      <c r="G328" s="1">
        <v>0</v>
      </c>
      <c r="H328" s="1">
        <v>0.5</v>
      </c>
      <c r="Q328" s="1" t="str">
        <f t="shared" si="55"/>
        <v>1-1</v>
      </c>
      <c r="R328" s="1" t="str">
        <f t="shared" si="55"/>
        <v>1-3</v>
      </c>
      <c r="S328" s="1" t="str">
        <f t="shared" si="55"/>
        <v>6-18</v>
      </c>
      <c r="T328" s="1">
        <f t="shared" si="51"/>
        <v>12</v>
      </c>
    </row>
    <row r="329" spans="1:20">
      <c r="A329" s="1" t="s">
        <v>348</v>
      </c>
      <c r="B329" s="1" t="s">
        <v>349</v>
      </c>
      <c r="C329" s="1" t="s">
        <v>39</v>
      </c>
      <c r="D329" s="1" t="s">
        <v>349</v>
      </c>
      <c r="E329" s="1">
        <v>1</v>
      </c>
      <c r="F329" s="1">
        <v>1</v>
      </c>
      <c r="G329" s="1">
        <v>0</v>
      </c>
      <c r="H329" s="1">
        <v>0.5</v>
      </c>
      <c r="Q329" s="1" t="str">
        <f t="shared" si="55"/>
        <v>1-1</v>
      </c>
      <c r="R329" s="1" t="str">
        <f t="shared" si="55"/>
        <v>1-3</v>
      </c>
      <c r="S329" s="1" t="str">
        <f t="shared" si="55"/>
        <v>6-18</v>
      </c>
      <c r="T329" s="1">
        <f t="shared" si="51"/>
        <v>12</v>
      </c>
    </row>
    <row r="330" spans="1:20">
      <c r="A330" s="1" t="s">
        <v>350</v>
      </c>
      <c r="B330" s="1" t="s">
        <v>351</v>
      </c>
      <c r="C330" s="1" t="s">
        <v>39</v>
      </c>
      <c r="D330" s="1" t="s">
        <v>351</v>
      </c>
      <c r="E330" s="1">
        <v>1</v>
      </c>
      <c r="F330" s="1">
        <v>1</v>
      </c>
      <c r="G330" s="1">
        <v>0</v>
      </c>
      <c r="H330" s="1">
        <v>0.5</v>
      </c>
      <c r="Q330" s="1" t="str">
        <f t="shared" si="55"/>
        <v>1-1</v>
      </c>
      <c r="R330" s="1" t="str">
        <f t="shared" si="55"/>
        <v>1-3</v>
      </c>
      <c r="S330" s="1" t="str">
        <f t="shared" si="55"/>
        <v>6-18</v>
      </c>
      <c r="T330" s="1">
        <f t="shared" si="51"/>
        <v>12</v>
      </c>
    </row>
    <row r="331" spans="1:20">
      <c r="A331" s="1" t="s">
        <v>352</v>
      </c>
      <c r="B331" s="1" t="s">
        <v>353</v>
      </c>
      <c r="C331" s="1" t="s">
        <v>39</v>
      </c>
      <c r="D331" s="1" t="s">
        <v>353</v>
      </c>
      <c r="E331" s="1">
        <v>1</v>
      </c>
      <c r="F331" s="1">
        <v>1</v>
      </c>
      <c r="G331" s="1">
        <v>0</v>
      </c>
      <c r="H331" s="1">
        <v>0.5</v>
      </c>
      <c r="Q331" s="1" t="str">
        <f t="shared" si="55"/>
        <v>1-1</v>
      </c>
      <c r="R331" s="1" t="str">
        <f t="shared" si="55"/>
        <v>1-3</v>
      </c>
      <c r="S331" s="1" t="str">
        <f t="shared" si="55"/>
        <v>6-18</v>
      </c>
      <c r="T331" s="1">
        <f t="shared" si="51"/>
        <v>12</v>
      </c>
    </row>
    <row r="332" spans="1:20">
      <c r="A332" s="1" t="s">
        <v>354</v>
      </c>
      <c r="B332" s="1" t="s">
        <v>355</v>
      </c>
      <c r="C332" s="1" t="s">
        <v>39</v>
      </c>
      <c r="D332" s="1" t="s">
        <v>355</v>
      </c>
      <c r="E332" s="1">
        <v>1</v>
      </c>
      <c r="F332" s="1">
        <v>1</v>
      </c>
      <c r="G332" s="1">
        <v>0</v>
      </c>
      <c r="H332" s="1">
        <v>0.5</v>
      </c>
      <c r="Q332" s="1" t="str">
        <f t="shared" si="55"/>
        <v>1-1</v>
      </c>
      <c r="R332" s="1" t="str">
        <f t="shared" si="55"/>
        <v>1-3</v>
      </c>
      <c r="S332" s="1" t="str">
        <f t="shared" si="55"/>
        <v>6-18</v>
      </c>
      <c r="T332" s="1">
        <f t="shared" si="51"/>
        <v>12</v>
      </c>
    </row>
    <row r="333" spans="1:20">
      <c r="A333" s="1" t="s">
        <v>356</v>
      </c>
      <c r="B333" s="1" t="s">
        <v>357</v>
      </c>
      <c r="C333" s="1" t="s">
        <v>39</v>
      </c>
      <c r="D333" s="1" t="s">
        <v>357</v>
      </c>
      <c r="E333" s="1">
        <v>1</v>
      </c>
      <c r="F333" s="1">
        <v>1</v>
      </c>
      <c r="G333" s="1">
        <v>0</v>
      </c>
      <c r="H333" s="1">
        <v>0.5</v>
      </c>
      <c r="Q333" s="1" t="str">
        <f t="shared" si="55"/>
        <v>1-1</v>
      </c>
      <c r="R333" s="1" t="str">
        <f t="shared" si="55"/>
        <v>1-3</v>
      </c>
      <c r="S333" s="1" t="str">
        <f t="shared" si="55"/>
        <v>6-18</v>
      </c>
      <c r="T333" s="1">
        <f t="shared" si="51"/>
        <v>12</v>
      </c>
    </row>
    <row r="334" spans="1:20">
      <c r="A334" s="1" t="s">
        <v>358</v>
      </c>
      <c r="B334" s="1" t="s">
        <v>359</v>
      </c>
      <c r="C334" s="1" t="s">
        <v>39</v>
      </c>
      <c r="D334" s="1" t="s">
        <v>359</v>
      </c>
      <c r="E334" s="1">
        <v>1</v>
      </c>
      <c r="F334" s="1">
        <v>1</v>
      </c>
      <c r="G334" s="1">
        <v>0</v>
      </c>
      <c r="H334" s="1">
        <v>0.5</v>
      </c>
      <c r="Q334" s="1" t="str">
        <f t="shared" si="55"/>
        <v>1-1</v>
      </c>
      <c r="R334" s="1" t="str">
        <f t="shared" si="55"/>
        <v>1-3</v>
      </c>
      <c r="S334" s="1" t="str">
        <f t="shared" si="55"/>
        <v>6-18</v>
      </c>
      <c r="T334" s="1">
        <f t="shared" si="51"/>
        <v>12</v>
      </c>
    </row>
    <row r="335" spans="1:20">
      <c r="A335" s="1" t="s">
        <v>360</v>
      </c>
      <c r="B335" s="1" t="s">
        <v>361</v>
      </c>
      <c r="C335" s="1" t="s">
        <v>39</v>
      </c>
      <c r="D335" s="1" t="s">
        <v>361</v>
      </c>
      <c r="E335" s="1">
        <v>1</v>
      </c>
      <c r="F335" s="1">
        <v>1</v>
      </c>
      <c r="G335" s="1">
        <v>0</v>
      </c>
      <c r="H335" s="1">
        <v>0.5</v>
      </c>
      <c r="Q335" s="1" t="str">
        <f t="shared" si="55"/>
        <v>1-1</v>
      </c>
      <c r="R335" s="1" t="str">
        <f t="shared" si="55"/>
        <v>1-3</v>
      </c>
      <c r="S335" s="1" t="str">
        <f t="shared" si="55"/>
        <v>6-18</v>
      </c>
      <c r="T335" s="1">
        <f t="shared" si="51"/>
        <v>12</v>
      </c>
    </row>
    <row r="336" spans="1:20">
      <c r="A336" s="1" t="s">
        <v>362</v>
      </c>
      <c r="B336" s="1" t="s">
        <v>363</v>
      </c>
      <c r="C336" s="1" t="s">
        <v>39</v>
      </c>
      <c r="D336" s="1" t="s">
        <v>363</v>
      </c>
      <c r="E336" s="1">
        <v>1</v>
      </c>
      <c r="F336" s="1">
        <v>1</v>
      </c>
      <c r="G336" s="1">
        <v>0</v>
      </c>
      <c r="H336" s="1">
        <v>0.5</v>
      </c>
      <c r="Q336" s="1" t="str">
        <f t="shared" si="55"/>
        <v>1-1</v>
      </c>
      <c r="R336" s="1" t="str">
        <f t="shared" si="55"/>
        <v>1-3</v>
      </c>
      <c r="S336" s="1" t="str">
        <f t="shared" si="55"/>
        <v>6-18</v>
      </c>
      <c r="T336" s="1">
        <f t="shared" si="51"/>
        <v>12</v>
      </c>
    </row>
    <row r="337" spans="1:20">
      <c r="A337" s="1" t="s">
        <v>364</v>
      </c>
      <c r="B337" s="1" t="s">
        <v>365</v>
      </c>
      <c r="C337" s="1" t="s">
        <v>39</v>
      </c>
      <c r="D337" s="1" t="s">
        <v>365</v>
      </c>
      <c r="E337" s="1">
        <v>1</v>
      </c>
      <c r="F337" s="1">
        <v>1</v>
      </c>
      <c r="G337" s="1">
        <v>0</v>
      </c>
      <c r="H337" s="1">
        <v>0.5</v>
      </c>
      <c r="Q337" s="1" t="str">
        <f t="shared" si="55"/>
        <v>1-1</v>
      </c>
      <c r="R337" s="1" t="str">
        <f t="shared" si="55"/>
        <v>1-3</v>
      </c>
      <c r="S337" s="1" t="str">
        <f t="shared" si="55"/>
        <v>6-18</v>
      </c>
      <c r="T337" s="1">
        <f t="shared" si="51"/>
        <v>12</v>
      </c>
    </row>
    <row r="338" spans="1:20">
      <c r="A338" s="1" t="s">
        <v>366</v>
      </c>
      <c r="B338" s="1" t="s">
        <v>367</v>
      </c>
      <c r="C338" s="1" t="s">
        <v>39</v>
      </c>
      <c r="D338" s="1" t="s">
        <v>367</v>
      </c>
      <c r="E338" s="1">
        <v>1</v>
      </c>
      <c r="F338" s="1">
        <v>1</v>
      </c>
      <c r="G338" s="1">
        <v>0</v>
      </c>
      <c r="H338" s="1">
        <v>0.5</v>
      </c>
      <c r="Q338" s="1" t="str">
        <f t="shared" si="55"/>
        <v>1-1</v>
      </c>
      <c r="R338" s="1" t="str">
        <f t="shared" si="55"/>
        <v>1-3</v>
      </c>
      <c r="S338" s="1" t="str">
        <f t="shared" si="55"/>
        <v>6-18</v>
      </c>
      <c r="T338" s="1">
        <f t="shared" si="51"/>
        <v>12</v>
      </c>
    </row>
    <row r="339" spans="1:20">
      <c r="A339" s="1" t="s">
        <v>368</v>
      </c>
      <c r="B339" s="1" t="s">
        <v>369</v>
      </c>
      <c r="C339" s="1" t="s">
        <v>39</v>
      </c>
      <c r="D339" s="1" t="s">
        <v>369</v>
      </c>
      <c r="E339" s="1">
        <v>1</v>
      </c>
      <c r="F339" s="1">
        <v>1</v>
      </c>
      <c r="G339" s="1">
        <v>0</v>
      </c>
      <c r="H339" s="1">
        <v>0.5</v>
      </c>
      <c r="Q339" s="1" t="str">
        <f t="shared" si="55"/>
        <v>1-1</v>
      </c>
      <c r="R339" s="1" t="str">
        <f t="shared" si="55"/>
        <v>1-3</v>
      </c>
      <c r="S339" s="1" t="str">
        <f t="shared" si="55"/>
        <v>6-18</v>
      </c>
      <c r="T339" s="1">
        <f t="shared" si="51"/>
        <v>12</v>
      </c>
    </row>
    <row r="340" spans="1:20">
      <c r="A340" s="1" t="s">
        <v>370</v>
      </c>
      <c r="B340" s="1" t="s">
        <v>371</v>
      </c>
      <c r="C340" s="1" t="s">
        <v>39</v>
      </c>
      <c r="D340" s="1" t="s">
        <v>371</v>
      </c>
      <c r="E340" s="1">
        <v>1</v>
      </c>
      <c r="F340" s="1">
        <v>1</v>
      </c>
      <c r="G340" s="1">
        <v>0</v>
      </c>
      <c r="H340" s="1">
        <v>0.5</v>
      </c>
      <c r="Q340" s="1" t="str">
        <f t="shared" si="55"/>
        <v>1-1</v>
      </c>
      <c r="R340" s="1" t="str">
        <f t="shared" si="55"/>
        <v>1-3</v>
      </c>
      <c r="S340" s="1" t="str">
        <f t="shared" si="55"/>
        <v>6-18</v>
      </c>
      <c r="T340" s="1">
        <f t="shared" si="51"/>
        <v>12</v>
      </c>
    </row>
    <row r="341" spans="1:20">
      <c r="A341" s="1" t="s">
        <v>372</v>
      </c>
      <c r="B341" s="1" t="s">
        <v>373</v>
      </c>
      <c r="C341" s="1" t="s">
        <v>39</v>
      </c>
      <c r="D341" s="1" t="s">
        <v>373</v>
      </c>
      <c r="E341" s="1">
        <v>1</v>
      </c>
      <c r="F341" s="1">
        <v>1</v>
      </c>
      <c r="G341" s="1">
        <v>0</v>
      </c>
      <c r="H341" s="1">
        <v>0.5</v>
      </c>
      <c r="Q341" s="1" t="str">
        <f t="shared" si="55"/>
        <v>1-1</v>
      </c>
      <c r="R341" s="1" t="str">
        <f t="shared" si="55"/>
        <v>1-3</v>
      </c>
      <c r="S341" s="1" t="str">
        <f t="shared" si="55"/>
        <v>6-18</v>
      </c>
      <c r="T341" s="1">
        <f t="shared" si="51"/>
        <v>12</v>
      </c>
    </row>
    <row r="342" spans="1:20">
      <c r="A342" s="1" t="s">
        <v>374</v>
      </c>
      <c r="B342" s="1" t="s">
        <v>374</v>
      </c>
      <c r="C342" s="1" t="s">
        <v>39</v>
      </c>
      <c r="D342" s="1" t="s">
        <v>374</v>
      </c>
      <c r="E342" s="1">
        <v>1</v>
      </c>
      <c r="F342" s="1">
        <v>1</v>
      </c>
      <c r="G342" s="1">
        <v>0</v>
      </c>
      <c r="H342" s="1">
        <v>0</v>
      </c>
      <c r="Q342" s="1" t="str">
        <f t="shared" si="55"/>
        <v>1-1</v>
      </c>
      <c r="R342" s="1" t="str">
        <f t="shared" si="55"/>
        <v>1-1</v>
      </c>
      <c r="S342" s="1" t="str">
        <f t="shared" si="55"/>
        <v>6-6</v>
      </c>
      <c r="T342" s="1">
        <f t="shared" ref="T342" si="56">_xlfn.LET(_xlpm.a,($E342+S$3*$G342)*(1+S$2),_xlpm.b,($F342+S$3*$H342)*(1+S$2),_xlpm.a/2+_xlpm.b/2)</f>
        <v>6</v>
      </c>
    </row>
    <row r="343" spans="1:20">
      <c r="A343" s="1" t="s">
        <v>375</v>
      </c>
      <c r="B343" s="1" t="s">
        <v>375</v>
      </c>
      <c r="C343" s="1" t="s">
        <v>39</v>
      </c>
      <c r="D343" s="1" t="s">
        <v>375</v>
      </c>
      <c r="E343" s="1">
        <v>1</v>
      </c>
      <c r="F343" s="1">
        <v>1</v>
      </c>
      <c r="G343" s="1">
        <v>0</v>
      </c>
      <c r="H343" s="1">
        <v>0</v>
      </c>
      <c r="Q343" s="1" t="str">
        <f t="shared" si="55"/>
        <v>1-1</v>
      </c>
      <c r="R343" s="1" t="str">
        <f t="shared" si="55"/>
        <v>1-1</v>
      </c>
      <c r="S343" s="1" t="str">
        <f t="shared" si="55"/>
        <v>6-6</v>
      </c>
      <c r="T343" s="1">
        <f t="shared" ref="T343:T359" si="57">_xlfn.LET(_xlpm.a,($E343+S$3*$G343)*(1+S$2),_xlpm.b,($F343+S$3*$H343)*(1+S$2),_xlpm.a/2+_xlpm.b/2)</f>
        <v>6</v>
      </c>
    </row>
    <row r="344" spans="1:20">
      <c r="A344" s="1" t="s">
        <v>376</v>
      </c>
      <c r="B344" s="1" t="s">
        <v>376</v>
      </c>
      <c r="C344" s="1" t="s">
        <v>39</v>
      </c>
      <c r="D344" s="1" t="s">
        <v>376</v>
      </c>
      <c r="E344" s="1">
        <v>1</v>
      </c>
      <c r="F344" s="1">
        <v>1</v>
      </c>
      <c r="G344" s="1">
        <v>0</v>
      </c>
      <c r="H344" s="1">
        <v>0</v>
      </c>
      <c r="Q344" s="1" t="str">
        <f t="shared" ref="Q344:S359" si="58">_xlfn.LET(_xlpm.a,($E344+Q$3*$G344)*(1+Q$2),_xlpm.b,($F344+Q$3*$H344)*(1+Q$2),_xlpm.a&amp;"-"&amp;_xlpm.b)</f>
        <v>1-1</v>
      </c>
      <c r="R344" s="1" t="str">
        <f t="shared" si="58"/>
        <v>1-1</v>
      </c>
      <c r="S344" s="1" t="str">
        <f t="shared" si="58"/>
        <v>6-6</v>
      </c>
      <c r="T344" s="1">
        <f t="shared" si="57"/>
        <v>6</v>
      </c>
    </row>
    <row r="345" spans="1:20">
      <c r="A345" s="1" t="s">
        <v>377</v>
      </c>
      <c r="B345" s="1" t="s">
        <v>377</v>
      </c>
      <c r="C345" s="1" t="s">
        <v>39</v>
      </c>
      <c r="D345" s="1" t="s">
        <v>377</v>
      </c>
      <c r="E345" s="1">
        <v>1</v>
      </c>
      <c r="F345" s="1">
        <v>1</v>
      </c>
      <c r="G345" s="1">
        <v>0</v>
      </c>
      <c r="H345" s="1">
        <v>0</v>
      </c>
      <c r="Q345" s="1" t="str">
        <f t="shared" si="58"/>
        <v>1-1</v>
      </c>
      <c r="R345" s="1" t="str">
        <f t="shared" si="58"/>
        <v>1-1</v>
      </c>
      <c r="S345" s="1" t="str">
        <f t="shared" si="58"/>
        <v>6-6</v>
      </c>
      <c r="T345" s="1">
        <f t="shared" si="57"/>
        <v>6</v>
      </c>
    </row>
    <row r="346" spans="1:20">
      <c r="A346" s="1" t="s">
        <v>378</v>
      </c>
      <c r="B346" s="1" t="s">
        <v>378</v>
      </c>
      <c r="C346" s="1" t="s">
        <v>39</v>
      </c>
      <c r="D346" s="1" t="s">
        <v>378</v>
      </c>
      <c r="E346" s="1">
        <v>1</v>
      </c>
      <c r="F346" s="1">
        <v>1</v>
      </c>
      <c r="G346" s="1">
        <v>0</v>
      </c>
      <c r="H346" s="1">
        <v>0</v>
      </c>
      <c r="Q346" s="1" t="str">
        <f t="shared" si="58"/>
        <v>1-1</v>
      </c>
      <c r="R346" s="1" t="str">
        <f t="shared" si="58"/>
        <v>1-1</v>
      </c>
      <c r="S346" s="1" t="str">
        <f t="shared" si="58"/>
        <v>6-6</v>
      </c>
      <c r="T346" s="1">
        <f t="shared" si="57"/>
        <v>6</v>
      </c>
    </row>
    <row r="347" spans="1:20">
      <c r="A347" s="1" t="s">
        <v>379</v>
      </c>
      <c r="B347" s="1" t="s">
        <v>379</v>
      </c>
      <c r="C347" s="1" t="s">
        <v>39</v>
      </c>
      <c r="D347" s="1" t="s">
        <v>379</v>
      </c>
      <c r="E347" s="1">
        <v>1</v>
      </c>
      <c r="F347" s="1">
        <v>1</v>
      </c>
      <c r="G347" s="1">
        <v>0</v>
      </c>
      <c r="H347" s="1">
        <v>0</v>
      </c>
      <c r="Q347" s="1" t="str">
        <f t="shared" si="58"/>
        <v>1-1</v>
      </c>
      <c r="R347" s="1" t="str">
        <f t="shared" si="58"/>
        <v>1-1</v>
      </c>
      <c r="S347" s="1" t="str">
        <f t="shared" si="58"/>
        <v>6-6</v>
      </c>
      <c r="T347" s="1">
        <f t="shared" si="57"/>
        <v>6</v>
      </c>
    </row>
    <row r="348" spans="1:20">
      <c r="A348" s="1" t="s">
        <v>380</v>
      </c>
      <c r="B348" s="1" t="s">
        <v>380</v>
      </c>
      <c r="C348" s="1" t="s">
        <v>39</v>
      </c>
      <c r="D348" s="1" t="s">
        <v>380</v>
      </c>
      <c r="E348" s="1">
        <v>1</v>
      </c>
      <c r="F348" s="1">
        <v>1</v>
      </c>
      <c r="G348" s="1">
        <v>0</v>
      </c>
      <c r="H348" s="1">
        <v>0</v>
      </c>
      <c r="Q348" s="1" t="str">
        <f t="shared" si="58"/>
        <v>1-1</v>
      </c>
      <c r="R348" s="1" t="str">
        <f t="shared" si="58"/>
        <v>1-1</v>
      </c>
      <c r="S348" s="1" t="str">
        <f t="shared" si="58"/>
        <v>6-6</v>
      </c>
      <c r="T348" s="1">
        <f t="shared" si="57"/>
        <v>6</v>
      </c>
    </row>
    <row r="349" spans="1:20">
      <c r="A349" s="1" t="s">
        <v>381</v>
      </c>
      <c r="B349" s="1" t="s">
        <v>381</v>
      </c>
      <c r="C349" s="1" t="s">
        <v>39</v>
      </c>
      <c r="D349" s="1" t="s">
        <v>381</v>
      </c>
      <c r="E349" s="1">
        <v>1</v>
      </c>
      <c r="F349" s="1">
        <v>1</v>
      </c>
      <c r="G349" s="1">
        <v>0</v>
      </c>
      <c r="H349" s="1">
        <v>0</v>
      </c>
      <c r="Q349" s="1" t="str">
        <f t="shared" si="58"/>
        <v>1-1</v>
      </c>
      <c r="R349" s="1" t="str">
        <f t="shared" si="58"/>
        <v>1-1</v>
      </c>
      <c r="S349" s="1" t="str">
        <f t="shared" si="58"/>
        <v>6-6</v>
      </c>
      <c r="T349" s="1">
        <f t="shared" si="57"/>
        <v>6</v>
      </c>
    </row>
    <row r="350" spans="1:20">
      <c r="A350" s="1" t="s">
        <v>382</v>
      </c>
      <c r="B350" s="1" t="s">
        <v>382</v>
      </c>
      <c r="C350" s="1" t="s">
        <v>39</v>
      </c>
      <c r="D350" s="1" t="s">
        <v>382</v>
      </c>
      <c r="E350" s="1">
        <v>1</v>
      </c>
      <c r="F350" s="1">
        <v>1</v>
      </c>
      <c r="G350" s="1">
        <v>0</v>
      </c>
      <c r="H350" s="1">
        <v>0</v>
      </c>
      <c r="Q350" s="1" t="str">
        <f t="shared" si="58"/>
        <v>1-1</v>
      </c>
      <c r="R350" s="1" t="str">
        <f t="shared" si="58"/>
        <v>1-1</v>
      </c>
      <c r="S350" s="1" t="str">
        <f t="shared" si="58"/>
        <v>6-6</v>
      </c>
      <c r="T350" s="1">
        <f t="shared" si="57"/>
        <v>6</v>
      </c>
    </row>
    <row r="351" spans="1:20">
      <c r="A351" s="1" t="s">
        <v>383</v>
      </c>
      <c r="B351" s="1" t="s">
        <v>383</v>
      </c>
      <c r="C351" s="1" t="s">
        <v>39</v>
      </c>
      <c r="D351" s="1" t="s">
        <v>383</v>
      </c>
      <c r="E351" s="1">
        <v>1</v>
      </c>
      <c r="F351" s="1">
        <v>1</v>
      </c>
      <c r="G351" s="1">
        <v>0</v>
      </c>
      <c r="H351" s="1">
        <v>0</v>
      </c>
      <c r="Q351" s="1" t="str">
        <f t="shared" si="58"/>
        <v>1-1</v>
      </c>
      <c r="R351" s="1" t="str">
        <f t="shared" si="58"/>
        <v>1-1</v>
      </c>
      <c r="S351" s="1" t="str">
        <f t="shared" si="58"/>
        <v>6-6</v>
      </c>
      <c r="T351" s="1">
        <f t="shared" si="57"/>
        <v>6</v>
      </c>
    </row>
    <row r="352" spans="1:20">
      <c r="A352" s="1" t="s">
        <v>384</v>
      </c>
      <c r="B352" s="1" t="s">
        <v>384</v>
      </c>
      <c r="C352" s="1" t="s">
        <v>39</v>
      </c>
      <c r="D352" s="1" t="s">
        <v>384</v>
      </c>
      <c r="E352" s="1">
        <v>1</v>
      </c>
      <c r="F352" s="1">
        <v>1</v>
      </c>
      <c r="G352" s="1">
        <v>0</v>
      </c>
      <c r="H352" s="1">
        <v>0</v>
      </c>
      <c r="Q352" s="1" t="str">
        <f t="shared" si="58"/>
        <v>1-1</v>
      </c>
      <c r="R352" s="1" t="str">
        <f t="shared" si="58"/>
        <v>1-1</v>
      </c>
      <c r="S352" s="1" t="str">
        <f t="shared" si="58"/>
        <v>6-6</v>
      </c>
      <c r="T352" s="1">
        <f t="shared" si="57"/>
        <v>6</v>
      </c>
    </row>
    <row r="353" spans="1:20">
      <c r="A353" s="1" t="s">
        <v>385</v>
      </c>
      <c r="B353" s="1" t="s">
        <v>385</v>
      </c>
      <c r="C353" s="1" t="s">
        <v>39</v>
      </c>
      <c r="D353" s="1" t="s">
        <v>385</v>
      </c>
      <c r="E353" s="1">
        <v>1</v>
      </c>
      <c r="F353" s="1">
        <v>1</v>
      </c>
      <c r="G353" s="1">
        <v>0</v>
      </c>
      <c r="H353" s="1">
        <v>0</v>
      </c>
      <c r="Q353" s="1" t="str">
        <f t="shared" si="58"/>
        <v>1-1</v>
      </c>
      <c r="R353" s="1" t="str">
        <f t="shared" si="58"/>
        <v>1-1</v>
      </c>
      <c r="S353" s="1" t="str">
        <f t="shared" si="58"/>
        <v>6-6</v>
      </c>
      <c r="T353" s="1">
        <f t="shared" si="57"/>
        <v>6</v>
      </c>
    </row>
    <row r="354" spans="1:20">
      <c r="A354" s="1" t="s">
        <v>386</v>
      </c>
      <c r="B354" s="1" t="s">
        <v>386</v>
      </c>
      <c r="C354" s="1" t="s">
        <v>39</v>
      </c>
      <c r="D354" s="1" t="s">
        <v>386</v>
      </c>
      <c r="E354" s="1">
        <v>1</v>
      </c>
      <c r="F354" s="1">
        <v>1</v>
      </c>
      <c r="G354" s="1">
        <v>0</v>
      </c>
      <c r="H354" s="1">
        <v>0</v>
      </c>
      <c r="Q354" s="1" t="str">
        <f t="shared" si="58"/>
        <v>1-1</v>
      </c>
      <c r="R354" s="1" t="str">
        <f t="shared" si="58"/>
        <v>1-1</v>
      </c>
      <c r="S354" s="1" t="str">
        <f t="shared" si="58"/>
        <v>6-6</v>
      </c>
      <c r="T354" s="1">
        <f t="shared" si="57"/>
        <v>6</v>
      </c>
    </row>
    <row r="355" spans="1:20">
      <c r="A355" s="1" t="s">
        <v>387</v>
      </c>
      <c r="B355" s="1" t="s">
        <v>387</v>
      </c>
      <c r="C355" s="1" t="s">
        <v>39</v>
      </c>
      <c r="D355" s="1" t="s">
        <v>387</v>
      </c>
      <c r="E355" s="1">
        <v>1</v>
      </c>
      <c r="F355" s="1">
        <v>1</v>
      </c>
      <c r="G355" s="1">
        <v>0</v>
      </c>
      <c r="H355" s="1">
        <v>0</v>
      </c>
      <c r="Q355" s="1" t="str">
        <f t="shared" si="58"/>
        <v>1-1</v>
      </c>
      <c r="R355" s="1" t="str">
        <f t="shared" si="58"/>
        <v>1-1</v>
      </c>
      <c r="S355" s="1" t="str">
        <f t="shared" si="58"/>
        <v>6-6</v>
      </c>
      <c r="T355" s="1">
        <f t="shared" si="57"/>
        <v>6</v>
      </c>
    </row>
    <row r="356" spans="1:20">
      <c r="A356" s="1" t="s">
        <v>388</v>
      </c>
      <c r="B356" s="1" t="s">
        <v>388</v>
      </c>
      <c r="C356" s="1" t="s">
        <v>39</v>
      </c>
      <c r="D356" s="1" t="s">
        <v>388</v>
      </c>
      <c r="E356" s="1">
        <v>1</v>
      </c>
      <c r="F356" s="1">
        <v>1</v>
      </c>
      <c r="G356" s="1">
        <v>0</v>
      </c>
      <c r="H356" s="1">
        <v>0</v>
      </c>
      <c r="Q356" s="1" t="str">
        <f t="shared" si="58"/>
        <v>1-1</v>
      </c>
      <c r="R356" s="1" t="str">
        <f t="shared" si="58"/>
        <v>1-1</v>
      </c>
      <c r="S356" s="1" t="str">
        <f t="shared" si="58"/>
        <v>6-6</v>
      </c>
      <c r="T356" s="1">
        <f t="shared" si="57"/>
        <v>6</v>
      </c>
    </row>
    <row r="357" spans="1:20">
      <c r="A357" s="1" t="s">
        <v>389</v>
      </c>
      <c r="B357" s="1" t="s">
        <v>389</v>
      </c>
      <c r="C357" s="1" t="s">
        <v>39</v>
      </c>
      <c r="D357" s="1" t="s">
        <v>389</v>
      </c>
      <c r="E357" s="1">
        <v>1</v>
      </c>
      <c r="F357" s="1">
        <v>1</v>
      </c>
      <c r="G357" s="1">
        <v>0</v>
      </c>
      <c r="H357" s="1">
        <v>0</v>
      </c>
      <c r="Q357" s="1" t="str">
        <f t="shared" si="58"/>
        <v>1-1</v>
      </c>
      <c r="R357" s="1" t="str">
        <f t="shared" si="58"/>
        <v>1-1</v>
      </c>
      <c r="S357" s="1" t="str">
        <f t="shared" si="58"/>
        <v>6-6</v>
      </c>
      <c r="T357" s="1">
        <f t="shared" si="57"/>
        <v>6</v>
      </c>
    </row>
    <row r="358" spans="1:20">
      <c r="A358" s="1" t="s">
        <v>390</v>
      </c>
      <c r="B358" s="1" t="s">
        <v>390</v>
      </c>
      <c r="C358" s="1" t="s">
        <v>39</v>
      </c>
      <c r="D358" s="1" t="s">
        <v>390</v>
      </c>
      <c r="E358" s="1">
        <v>1</v>
      </c>
      <c r="F358" s="1">
        <v>1</v>
      </c>
      <c r="G358" s="1">
        <v>0</v>
      </c>
      <c r="H358" s="1">
        <v>0</v>
      </c>
      <c r="Q358" s="1" t="str">
        <f t="shared" si="58"/>
        <v>1-1</v>
      </c>
      <c r="R358" s="1" t="str">
        <f t="shared" si="58"/>
        <v>1-1</v>
      </c>
      <c r="S358" s="1" t="str">
        <f t="shared" si="58"/>
        <v>6-6</v>
      </c>
      <c r="T358" s="1">
        <f t="shared" si="57"/>
        <v>6</v>
      </c>
    </row>
    <row r="359" spans="1:20">
      <c r="A359" s="1" t="s">
        <v>391</v>
      </c>
      <c r="B359" s="1" t="s">
        <v>391</v>
      </c>
      <c r="C359" s="1" t="s">
        <v>39</v>
      </c>
      <c r="D359" s="1" t="s">
        <v>391</v>
      </c>
      <c r="E359" s="1">
        <v>1</v>
      </c>
      <c r="F359" s="1">
        <v>1</v>
      </c>
      <c r="G359" s="1">
        <v>0</v>
      </c>
      <c r="H359" s="1">
        <v>0</v>
      </c>
      <c r="Q359" s="1" t="str">
        <f t="shared" si="58"/>
        <v>1-1</v>
      </c>
      <c r="R359" s="1" t="str">
        <f t="shared" si="58"/>
        <v>1-1</v>
      </c>
      <c r="S359" s="1" t="str">
        <f t="shared" si="58"/>
        <v>6-6</v>
      </c>
      <c r="T359" s="1">
        <f t="shared" si="57"/>
        <v>6</v>
      </c>
    </row>
  </sheetData>
  <autoFilter ref="A4:T359" xr:uid="{00000000-0001-0000-0000-000000000000}"/>
  <phoneticPr fontId="1" type="noConversion"/>
  <conditionalFormatting sqref="A1:A1048576">
    <cfRule type="duplicateValues" dxfId="2" priority="27"/>
  </conditionalFormatting>
  <conditionalFormatting sqref="B164">
    <cfRule type="duplicateValues" dxfId="1" priority="2"/>
  </conditionalFormatting>
  <conditionalFormatting sqref="B168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2025-06-12T15:25:40Z</dcterms:modified>
</cp:coreProperties>
</file>